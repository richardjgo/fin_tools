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240" yWindow="105" windowWidth="21075" windowHeight="10005"/>
  </bookViews>
  <sheets>
    <sheet name="MinVar" sheetId="1" r:id="rId1"/>
    <sheet name="Optimum" sheetId="4" r:id="rId2"/>
    <sheet name="Test" sheetId="5" r:id="rId3"/>
  </sheets>
  <functionGroups builtInGroupCount="17"/>
  <definedNames>
    <definedName name="solver_adj" localSheetId="0" hidden="1">MinVar!$I$14:$M$14</definedName>
    <definedName name="solver_adj" localSheetId="1" hidden="1">Optimum!$P$16,Optimum!$I$14:$M$14</definedName>
    <definedName name="solver_cct" localSheetId="1" hidden="1">20</definedName>
    <definedName name="solver_cgt" localSheetId="1" hidden="1">1</definedName>
    <definedName name="solver_cir1" localSheetId="1" hidden="1">1</definedName>
    <definedName name="solver_cir2" localSheetId="1" hidden="1">1</definedName>
    <definedName name="solver_con1" localSheetId="0" hidden="1">" "</definedName>
    <definedName name="solver_con1" localSheetId="1" hidden="1">" "</definedName>
    <definedName name="solver_con2" localSheetId="1" hidden="1">" "</definedName>
    <definedName name="solver_cvg" localSheetId="0" hidden="1">0.0001</definedName>
    <definedName name="solver_cvg" localSheetId="1" hidden="1">0.0001</definedName>
    <definedName name="solver_dia" localSheetId="0" hidden="1">1</definedName>
    <definedName name="solver_dia" localSheetId="1" hidden="1">1</definedName>
    <definedName name="solver_drv" localSheetId="0" hidden="1">1</definedName>
    <definedName name="solver_drv" localSheetId="1" hidden="1">1</definedName>
    <definedName name="solver_dua" localSheetId="1" hidden="1">0</definedName>
    <definedName name="solver_eng" localSheetId="0" hidden="1">1</definedName>
    <definedName name="solver_eng" localSheetId="1" hidden="1">1</definedName>
    <definedName name="solver_est" localSheetId="0" hidden="1">1</definedName>
    <definedName name="solver_est" localSheetId="1" hidden="1">1</definedName>
    <definedName name="solver_gct" localSheetId="1" hidden="1">20</definedName>
    <definedName name="solver_gop" localSheetId="1" hidden="1">1</definedName>
    <definedName name="solver_ibd" localSheetId="1" hidden="1">0</definedName>
    <definedName name="solver_itr" localSheetId="0" hidden="1">1000</definedName>
    <definedName name="solver_itr" localSheetId="1" hidden="1">1000</definedName>
    <definedName name="solver_lhs1" localSheetId="0" hidden="1">MinVar!$N$14</definedName>
    <definedName name="solver_lhs1" localSheetId="1" hidden="1">Optimum!$N$14</definedName>
    <definedName name="solver_lhs2" localSheetId="1" hidden="1">Optimum!$M$18:$M$19</definedName>
    <definedName name="solver_lin" localSheetId="0" hidden="1">2</definedName>
    <definedName name="solver_lin" localSheetId="1" hidden="1">2</definedName>
    <definedName name="solver_lva" localSheetId="0" hidden="1">0</definedName>
    <definedName name="solver_lva" localSheetId="1" hidden="1">0</definedName>
    <definedName name="solver_mip" localSheetId="0" hidden="1">5000</definedName>
    <definedName name="solver_mip" localSheetId="1" hidden="1">5000</definedName>
    <definedName name="solver_msl" localSheetId="0" hidden="1">0</definedName>
    <definedName name="solver_msl" localSheetId="1" hidden="1">0</definedName>
    <definedName name="solver_neg" localSheetId="0" hidden="1">1</definedName>
    <definedName name="solver_neg" localSheetId="1" hidden="1">1</definedName>
    <definedName name="solver_nod" localSheetId="0" hidden="1">5000</definedName>
    <definedName name="solver_nod" localSheetId="1" hidden="1">5000</definedName>
    <definedName name="solver_num" localSheetId="0" hidden="1">1</definedName>
    <definedName name="solver_num" localSheetId="1" hidden="1">2</definedName>
    <definedName name="solver_nwt" localSheetId="0" hidden="1">1</definedName>
    <definedName name="solver_nwt" localSheetId="1" hidden="1">1</definedName>
    <definedName name="solver_ofx" localSheetId="1" hidden="1">0</definedName>
    <definedName name="solver_opt" localSheetId="0" hidden="1">MinVar!$I$17</definedName>
    <definedName name="solver_opt" localSheetId="1" hidden="1">Optimum!$P$16</definedName>
    <definedName name="solver_phr" localSheetId="1" hidden="1">0</definedName>
    <definedName name="solver_piv" localSheetId="1" hidden="1">0.000001</definedName>
    <definedName name="solver_pre" localSheetId="0" hidden="1">0.000000000000000001</definedName>
    <definedName name="solver_pre" localSheetId="1" hidden="1">0.000001</definedName>
    <definedName name="solver_pro" localSheetId="1" hidden="1">0</definedName>
    <definedName name="solver_psi" localSheetId="0" hidden="1">0</definedName>
    <definedName name="solver_psi" localSheetId="1" hidden="1">0</definedName>
    <definedName name="solver_rbv" localSheetId="0" hidden="1">1</definedName>
    <definedName name="solver_rbv" localSheetId="1" hidden="1">1</definedName>
    <definedName name="solver_red" localSheetId="1" hidden="1">0.000001</definedName>
    <definedName name="solver_rel1" localSheetId="0" hidden="1">2</definedName>
    <definedName name="solver_rel1" localSheetId="1" hidden="1">2</definedName>
    <definedName name="solver_rel2" localSheetId="1" hidden="1">1</definedName>
    <definedName name="solver_rep" localSheetId="0" hidden="1">0</definedName>
    <definedName name="solver_rep" localSheetId="1" hidden="1">0</definedName>
    <definedName name="solver_rhs1" localSheetId="0" hidden="1">MinVar!$P$14</definedName>
    <definedName name="solver_rhs1" localSheetId="1" hidden="1">Optimum!$P$14</definedName>
    <definedName name="solver_rhs2" localSheetId="1" hidden="1">Optimum!$O$18:$O$19</definedName>
    <definedName name="solver_rlx" localSheetId="0" hidden="1">0</definedName>
    <definedName name="solver_rlx" localSheetId="1" hidden="1">0</definedName>
    <definedName name="solver_scl" localSheetId="0" hidden="1">0</definedName>
    <definedName name="solver_scl" localSheetId="1" hidden="1">0</definedName>
    <definedName name="solver_sho" localSheetId="0" hidden="1">0</definedName>
    <definedName name="solver_sho" localSheetId="1" hidden="1">0</definedName>
    <definedName name="solver_ssz" localSheetId="0" hidden="1">0</definedName>
    <definedName name="solver_ssz" localSheetId="1" hidden="1">0</definedName>
    <definedName name="solver_tim" localSheetId="0" hidden="1">100</definedName>
    <definedName name="solver_tim" localSheetId="1" hidden="1">100</definedName>
    <definedName name="solver_tms" localSheetId="0" hidden="1">0</definedName>
    <definedName name="solver_tms" localSheetId="1" hidden="1">0</definedName>
    <definedName name="solver_tol" localSheetId="0" hidden="1">0.05</definedName>
    <definedName name="solver_tol" localSheetId="1" hidden="1">0.05</definedName>
    <definedName name="solver_typ" localSheetId="0" hidden="1">2</definedName>
    <definedName name="solver_typ" localSheetId="1" hidden="1">2</definedName>
    <definedName name="solver_val" localSheetId="0" hidden="1">0</definedName>
    <definedName name="solver_val" localSheetId="1" hidden="1">0</definedName>
    <definedName name="solver_var" localSheetId="0" hidden="1">" "</definedName>
    <definedName name="solver_var" localSheetId="1" hidden="1">" "</definedName>
    <definedName name="solver_ver" localSheetId="0" hidden="1">7</definedName>
    <definedName name="solver_ver" localSheetId="1" hidden="1">7</definedName>
    <definedName name="solver_vir" localSheetId="0" hidden="1">1</definedName>
    <definedName name="solver_vir" localSheetId="1" hidden="1">1</definedName>
    <definedName name="solver_vol" localSheetId="0" hidden="1">0</definedName>
    <definedName name="solver_vol" localSheetId="1" hidden="1">0</definedName>
  </definedNames>
  <calcPr calcId="145621" calcMode="manual" calcCompleted="0" calcOnSave="0"/>
</workbook>
</file>

<file path=xl/calcChain.xml><?xml version="1.0" encoding="utf-8"?>
<calcChain xmlns="http://schemas.openxmlformats.org/spreadsheetml/2006/main">
  <c r="I18" i="4" l="1" a="1"/>
  <c r="I18" i="4" s="1"/>
  <c r="I17" i="1" a="1"/>
  <c r="I17" i="1" s="1"/>
  <c r="J23" i="4"/>
  <c r="K23" i="4"/>
  <c r="I23" i="4"/>
  <c r="H24" i="4"/>
  <c r="H28" i="4"/>
  <c r="H29" i="4" s="1"/>
  <c r="H30" i="4" s="1"/>
  <c r="H31" i="4" s="1"/>
  <c r="H32" i="4" s="1"/>
  <c r="H33" i="4" s="1"/>
  <c r="H34" i="4" s="1"/>
  <c r="H35" i="4" s="1"/>
  <c r="H36" i="4" s="1"/>
  <c r="M25" i="4"/>
  <c r="N25" i="4"/>
  <c r="O25" i="4"/>
  <c r="P25" i="4"/>
  <c r="L25" i="4"/>
  <c r="I25" i="4"/>
  <c r="H25" i="4"/>
  <c r="L19" i="4"/>
  <c r="O19" i="4"/>
  <c r="O18" i="4"/>
  <c r="N14" i="4"/>
  <c r="M4" i="4"/>
  <c r="L4" i="4"/>
  <c r="K4" i="4"/>
  <c r="J4" i="4"/>
  <c r="I4" i="4"/>
  <c r="N4" i="4" s="1"/>
  <c r="M3" i="4"/>
  <c r="L3" i="4"/>
  <c r="K3" i="4"/>
  <c r="J3" i="4"/>
  <c r="I3" i="4"/>
  <c r="M2" i="4"/>
  <c r="L2" i="4"/>
  <c r="K2" i="4"/>
  <c r="J2" i="4"/>
  <c r="I2" i="4"/>
  <c r="I19" i="4" s="1"/>
  <c r="M1" i="4"/>
  <c r="P23" i="4" s="1"/>
  <c r="L1" i="4"/>
  <c r="O23" i="4" s="1"/>
  <c r="K1" i="4"/>
  <c r="N23" i="4" s="1"/>
  <c r="J1" i="4"/>
  <c r="M23" i="4" s="1"/>
  <c r="I1" i="4"/>
  <c r="L23" i="4" s="1"/>
  <c r="I7" i="4" a="1"/>
  <c r="N3" i="4" l="1"/>
  <c r="N2" i="4"/>
  <c r="J19" i="4" s="1"/>
  <c r="H7" i="4" a="1"/>
  <c r="H8" i="4" s="1"/>
  <c r="K19" i="4"/>
  <c r="M19" i="4" s="1"/>
  <c r="K25" i="4"/>
  <c r="L11" i="4"/>
  <c r="J11" i="4"/>
  <c r="M10" i="4"/>
  <c r="K10" i="4"/>
  <c r="I10" i="4"/>
  <c r="L9" i="4"/>
  <c r="J9" i="4"/>
  <c r="M8" i="4"/>
  <c r="K8" i="4"/>
  <c r="I8" i="4"/>
  <c r="L7" i="4"/>
  <c r="J7" i="4"/>
  <c r="M11" i="4"/>
  <c r="K11" i="4"/>
  <c r="I11" i="4"/>
  <c r="L10" i="4"/>
  <c r="J10" i="4"/>
  <c r="M9" i="4"/>
  <c r="K9" i="4"/>
  <c r="I9" i="4"/>
  <c r="L8" i="4"/>
  <c r="J8" i="4"/>
  <c r="M7" i="4"/>
  <c r="K7" i="4"/>
  <c r="I7" i="4"/>
  <c r="H10" i="4"/>
  <c r="H7" i="4"/>
  <c r="N14" i="1"/>
  <c r="J15" i="1"/>
  <c r="K15" i="1"/>
  <c r="L15" i="1"/>
  <c r="M15" i="1"/>
  <c r="I15" i="1"/>
  <c r="J3" i="1"/>
  <c r="K3" i="1"/>
  <c r="L3" i="1"/>
  <c r="M3" i="1"/>
  <c r="I3" i="1"/>
  <c r="H7" i="1" a="1"/>
  <c r="H7" i="1" s="1"/>
  <c r="H8" i="1"/>
  <c r="H9" i="1"/>
  <c r="H10" i="1"/>
  <c r="J1" i="1"/>
  <c r="K1" i="1"/>
  <c r="L1" i="1"/>
  <c r="M1" i="1"/>
  <c r="I1" i="1"/>
  <c r="J4" i="1"/>
  <c r="K4" i="1"/>
  <c r="L4" i="1"/>
  <c r="M4" i="1"/>
  <c r="I4" i="1"/>
  <c r="J2" i="1"/>
  <c r="K2" i="1"/>
  <c r="L2" i="1"/>
  <c r="M2" i="1"/>
  <c r="I2" i="1"/>
  <c r="I7" i="1" a="1"/>
  <c r="H11" i="4" l="1"/>
  <c r="H9" i="4"/>
  <c r="H11" i="1"/>
  <c r="I7" i="1"/>
  <c r="K7" i="1"/>
  <c r="M7" i="1"/>
  <c r="J8" i="1"/>
  <c r="L8" i="1"/>
  <c r="I9" i="1"/>
  <c r="K9" i="1"/>
  <c r="M9" i="1"/>
  <c r="J10" i="1"/>
  <c r="L10" i="1"/>
  <c r="I11" i="1"/>
  <c r="K11" i="1"/>
  <c r="M11" i="1"/>
  <c r="J7" i="1"/>
  <c r="L7" i="1"/>
  <c r="I8" i="1"/>
  <c r="K8" i="1"/>
  <c r="M8" i="1"/>
  <c r="J9" i="1"/>
  <c r="L9" i="1"/>
  <c r="I10" i="1"/>
  <c r="K10" i="1"/>
  <c r="M10" i="1"/>
  <c r="J11" i="1"/>
  <c r="L11" i="1"/>
  <c r="J25" i="4" l="1"/>
  <c r="J18" i="4"/>
  <c r="K18" i="4" s="1"/>
  <c r="M18" i="4" s="1"/>
</calcChain>
</file>

<file path=xl/comments1.xml><?xml version="1.0" encoding="utf-8"?>
<comments xmlns="http://schemas.openxmlformats.org/spreadsheetml/2006/main">
  <authors>
    <author>fboehlandt</author>
  </authors>
  <commentList>
    <comment ref="M14" authorId="0">
      <text>
        <r>
          <rPr>
            <b/>
            <sz val="9"/>
            <color indexed="81"/>
            <rFont val="Tahoma"/>
            <family val="2"/>
          </rPr>
          <t>fboehlandt:</t>
        </r>
        <r>
          <rPr>
            <sz val="9"/>
            <color indexed="81"/>
            <rFont val="Tahoma"/>
            <family val="2"/>
          </rPr>
          <t xml:space="preserve">
Variable Cells</t>
        </r>
      </text>
    </comment>
    <comment ref="P14" authorId="0">
      <text>
        <r>
          <rPr>
            <b/>
            <sz val="9"/>
            <color indexed="81"/>
            <rFont val="Tahoma"/>
            <family val="2"/>
          </rPr>
          <t>fboehlandt:</t>
        </r>
        <r>
          <rPr>
            <sz val="9"/>
            <color indexed="81"/>
            <rFont val="Tahoma"/>
            <family val="2"/>
          </rPr>
          <t xml:space="preserve">
Constraint 1: Sum of Coefficients = 1
Constraint 2: Non-negativity</t>
        </r>
      </text>
    </comment>
    <comment ref="I17" authorId="0">
      <text>
        <r>
          <rPr>
            <b/>
            <sz val="9"/>
            <color indexed="81"/>
            <rFont val="Tahoma"/>
            <family val="2"/>
          </rPr>
          <t>fboehlandt:</t>
        </r>
        <r>
          <rPr>
            <sz val="9"/>
            <color indexed="81"/>
            <rFont val="Tahoma"/>
            <family val="2"/>
          </rPr>
          <t xml:space="preserve">
Target Cell</t>
        </r>
      </text>
    </comment>
  </commentList>
</comments>
</file>

<file path=xl/comments2.xml><?xml version="1.0" encoding="utf-8"?>
<comments xmlns="http://schemas.openxmlformats.org/spreadsheetml/2006/main">
  <authors>
    <author>fboehlandt</author>
  </authors>
  <commentList>
    <comment ref="M14" authorId="0">
      <text>
        <r>
          <rPr>
            <b/>
            <sz val="9"/>
            <color indexed="81"/>
            <rFont val="Tahoma"/>
            <family val="2"/>
          </rPr>
          <t>fboehlandt:</t>
        </r>
        <r>
          <rPr>
            <sz val="9"/>
            <color indexed="81"/>
            <rFont val="Tahoma"/>
            <family val="2"/>
          </rPr>
          <t xml:space="preserve">
Variable Cells</t>
        </r>
      </text>
    </comment>
    <comment ref="P14" authorId="0">
      <text>
        <r>
          <rPr>
            <b/>
            <sz val="9"/>
            <color indexed="81"/>
            <rFont val="Tahoma"/>
            <family val="2"/>
          </rPr>
          <t>fboehlandt:</t>
        </r>
        <r>
          <rPr>
            <sz val="9"/>
            <color indexed="81"/>
            <rFont val="Tahoma"/>
            <family val="2"/>
          </rPr>
          <t xml:space="preserve">
Constraint 1: Sum of Coefficients = 1
Constraint 2: Non-negativity</t>
        </r>
      </text>
    </comment>
    <comment ref="P16" authorId="0">
      <text>
        <r>
          <rPr>
            <b/>
            <sz val="9"/>
            <color indexed="81"/>
            <rFont val="Tahoma"/>
            <family val="2"/>
          </rPr>
          <t>fboehlandt:</t>
        </r>
        <r>
          <rPr>
            <sz val="9"/>
            <color indexed="81"/>
            <rFont val="Tahoma"/>
            <family val="2"/>
          </rPr>
          <t xml:space="preserve">
Target cell and Variable Cell</t>
        </r>
      </text>
    </comment>
    <comment ref="J18" authorId="0">
      <text>
        <r>
          <rPr>
            <b/>
            <sz val="9"/>
            <color indexed="81"/>
            <rFont val="Tahoma"/>
            <family val="2"/>
          </rPr>
          <t>fboehlandt:</t>
        </r>
        <r>
          <rPr>
            <sz val="9"/>
            <color indexed="81"/>
            <rFont val="Tahoma"/>
            <family val="2"/>
          </rPr>
          <t xml:space="preserve">
Cell Ref: Sheets("MinVar").Range("I17")</t>
        </r>
      </text>
    </comment>
    <comment ref="L18" authorId="0">
      <text>
        <r>
          <rPr>
            <b/>
            <sz val="9"/>
            <color indexed="81"/>
            <rFont val="Tahoma"/>
            <family val="2"/>
          </rPr>
          <t>fboehlandt:</t>
        </r>
        <r>
          <rPr>
            <sz val="9"/>
            <color indexed="81"/>
            <rFont val="Tahoma"/>
            <family val="2"/>
          </rPr>
          <t xml:space="preserve">
Input Weighting/Importance Portfolio Variance</t>
        </r>
      </text>
    </comment>
    <comment ref="H26" authorId="0">
      <text>
        <r>
          <rPr>
            <sz val="9"/>
            <color indexed="81"/>
            <rFont val="Tahoma"/>
            <family val="2"/>
          </rPr>
          <t>Solver found a solution. All constraints and optimality conditions are satisfied.</t>
        </r>
      </text>
    </comment>
    <comment ref="H27" authorId="0">
      <text>
        <r>
          <rPr>
            <sz val="9"/>
            <color indexed="81"/>
            <rFont val="Tahoma"/>
            <family val="2"/>
          </rPr>
          <t>Solver found a solution. All constraints and optimality conditions are satisfied.</t>
        </r>
      </text>
    </comment>
    <comment ref="H28" authorId="0">
      <text>
        <r>
          <rPr>
            <sz val="9"/>
            <color indexed="81"/>
            <rFont val="Tahoma"/>
            <family val="2"/>
          </rPr>
          <t>Solver found a solution. All constraints and optimality conditions are satisfied.</t>
        </r>
      </text>
    </comment>
    <comment ref="H29" authorId="0">
      <text>
        <r>
          <rPr>
            <sz val="9"/>
            <color indexed="81"/>
            <rFont val="Tahoma"/>
            <family val="2"/>
          </rPr>
          <t>Solver found a solution. All constraints and optimality conditions are satisfied.</t>
        </r>
      </text>
    </comment>
    <comment ref="H30" authorId="0">
      <text>
        <r>
          <rPr>
            <sz val="9"/>
            <color indexed="81"/>
            <rFont val="Tahoma"/>
            <family val="2"/>
          </rPr>
          <t>Solver found a solution. All constraints and optimality conditions are satisfied.</t>
        </r>
      </text>
    </comment>
    <comment ref="H31" authorId="0">
      <text>
        <r>
          <rPr>
            <sz val="9"/>
            <color indexed="81"/>
            <rFont val="Tahoma"/>
            <family val="2"/>
          </rPr>
          <t>Solver found a solution. All constraints and optimality conditions are satisfied.</t>
        </r>
      </text>
    </comment>
    <comment ref="H32" authorId="0">
      <text>
        <r>
          <rPr>
            <sz val="9"/>
            <color indexed="81"/>
            <rFont val="Tahoma"/>
            <family val="2"/>
          </rPr>
          <t>Solver found a solution. All constraints and optimality conditions are satisfied.</t>
        </r>
      </text>
    </comment>
    <comment ref="H33" authorId="0">
      <text>
        <r>
          <rPr>
            <sz val="9"/>
            <color indexed="81"/>
            <rFont val="Tahoma"/>
            <family val="2"/>
          </rPr>
          <t>Solver found a solution. All constraints and optimality conditions are satisfied.</t>
        </r>
      </text>
    </comment>
    <comment ref="H34" authorId="0">
      <text>
        <r>
          <rPr>
            <sz val="9"/>
            <color indexed="81"/>
            <rFont val="Tahoma"/>
            <family val="2"/>
          </rPr>
          <t>Solver found a solution. All constraints and optimality conditions are satisfied.</t>
        </r>
      </text>
    </comment>
    <comment ref="H35" authorId="0">
      <text>
        <r>
          <rPr>
            <sz val="9"/>
            <color indexed="81"/>
            <rFont val="Tahoma"/>
            <family val="2"/>
          </rPr>
          <t>Solver found a solution. All constraints and optimality conditions are satisfied.</t>
        </r>
      </text>
    </comment>
    <comment ref="H36" authorId="0">
      <text>
        <r>
          <rPr>
            <sz val="9"/>
            <color indexed="81"/>
            <rFont val="Tahoma"/>
            <family val="2"/>
          </rPr>
          <t>Solver found a solution. All constraints and optimality conditions are satisfied.</t>
        </r>
      </text>
    </comment>
  </commentList>
</comments>
</file>

<file path=xl/sharedStrings.xml><?xml version="1.0" encoding="utf-8"?>
<sst xmlns="http://schemas.openxmlformats.org/spreadsheetml/2006/main" count="41" uniqueCount="26">
  <si>
    <t>Equities Switzerland</t>
  </si>
  <si>
    <t>Equities Germany</t>
  </si>
  <si>
    <t>Equities USA</t>
  </si>
  <si>
    <t>Equities UK</t>
  </si>
  <si>
    <t>Equities Japan</t>
  </si>
  <si>
    <t>Mean</t>
  </si>
  <si>
    <t>Stdev</t>
  </si>
  <si>
    <t>Covariance Matrix</t>
  </si>
  <si>
    <t>Weighting</t>
  </si>
  <si>
    <t>Variance</t>
  </si>
  <si>
    <t>Portfolio Variance</t>
  </si>
  <si>
    <t>=</t>
  </si>
  <si>
    <t>TOTAL</t>
  </si>
  <si>
    <t>Portfolio Return</t>
  </si>
  <si>
    <t>Optimum</t>
  </si>
  <si>
    <t>Optimum*</t>
  </si>
  <si>
    <t>Performance</t>
  </si>
  <si>
    <t>Deviation</t>
  </si>
  <si>
    <t>Weight</t>
  </si>
  <si>
    <t>% deviation</t>
  </si>
  <si>
    <t>&lt;=</t>
  </si>
  <si>
    <t>Q</t>
  </si>
  <si>
    <t>SENSITIVITY ANALYSIS</t>
  </si>
  <si>
    <t>where</t>
  </si>
  <si>
    <t>Diversification</t>
  </si>
  <si>
    <t>*corresponds to 100% investment into best performing asset / MinVar Portfolio from Sheet("MinVar")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</si>
</sst>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_(* #,##0.00_);_(* \(#,##0.00\);_(* &quot;-&quot;??_);_(@_)"/>
    <numFmt numFmtId="165" formatCode="0.0000"/>
    <numFmt numFmtId="166" formatCode="0.000"/>
    <numFmt numFmtId="167" formatCode="_(* #,##0.000_);_(* \(#,##0.000\);_(* &quot;-&quot;??_);_(@_)"/>
    <numFmt numFmtId="168" formatCode="0.0%"/>
    <numFmt numFmtId="169" formatCode="0.0"/>
    <numFmt numFmtId="170" formatCode="_(* #,##0.0_);_(* \(#,##0.0\);_(* &quot;-&quot;??_);_(@_)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name val="MS Sans Serif"/>
      <family val="2"/>
    </font>
  </fonts>
  <fills count="6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/>
        <bgColor indexed="64"/>
      </patternFill>
    </fill>
  </fills>
  <borders count="14">
    <border>
      <left/>
      <right/>
      <top/>
      <bottom/>
      <diagonal/>
    </border>
    <border>
      <left style="medium">
        <color rgb="FFFF0000"/>
      </left>
      <right/>
      <top style="medium">
        <color rgb="FFFF0000"/>
      </top>
      <bottom style="medium">
        <color rgb="FFFF0000"/>
      </bottom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3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5" fillId="0" borderId="0"/>
  </cellStyleXfs>
  <cellXfs count="52">
    <xf numFmtId="0" fontId="0" fillId="0" borderId="0" xfId="0"/>
    <xf numFmtId="0" fontId="2" fillId="0" borderId="0" xfId="0" applyFont="1"/>
    <xf numFmtId="166" fontId="0" fillId="0" borderId="0" xfId="0" applyNumberFormat="1"/>
    <xf numFmtId="2" fontId="0" fillId="0" borderId="0" xfId="0" applyNumberFormat="1"/>
    <xf numFmtId="164" fontId="0" fillId="0" borderId="0" xfId="0" applyNumberFormat="1"/>
    <xf numFmtId="2" fontId="2" fillId="0" borderId="0" xfId="0" applyNumberFormat="1" applyFont="1"/>
    <xf numFmtId="166" fontId="0" fillId="2" borderId="4" xfId="0" applyNumberFormat="1" applyFill="1" applyBorder="1"/>
    <xf numFmtId="0" fontId="0" fillId="0" borderId="0" xfId="0" applyAlignment="1">
      <alignment horizontal="center"/>
    </xf>
    <xf numFmtId="2" fontId="0" fillId="4" borderId="5" xfId="0" applyNumberFormat="1" applyFill="1" applyBorder="1"/>
    <xf numFmtId="166" fontId="0" fillId="0" borderId="0" xfId="0" applyNumberFormat="1" applyFill="1" applyBorder="1"/>
    <xf numFmtId="0" fontId="0" fillId="0" borderId="0" xfId="0" applyAlignment="1">
      <alignment horizontal="right"/>
    </xf>
    <xf numFmtId="0" fontId="0" fillId="5" borderId="4" xfId="0" applyFill="1" applyBorder="1"/>
    <xf numFmtId="0" fontId="2" fillId="0" borderId="0" xfId="0" applyFont="1" applyAlignment="1">
      <alignment horizontal="center"/>
    </xf>
    <xf numFmtId="168" fontId="0" fillId="0" borderId="0" xfId="2" applyNumberFormat="1" applyFont="1"/>
    <xf numFmtId="166" fontId="0" fillId="4" borderId="5" xfId="0" applyNumberFormat="1" applyFill="1" applyBorder="1"/>
    <xf numFmtId="10" fontId="0" fillId="0" borderId="0" xfId="2" applyNumberFormat="1" applyFont="1" applyFill="1" applyBorder="1"/>
    <xf numFmtId="9" fontId="0" fillId="0" borderId="0" xfId="2" applyFont="1" applyFill="1" applyBorder="1"/>
    <xf numFmtId="167" fontId="0" fillId="0" borderId="0" xfId="0" applyNumberFormat="1" applyFill="1" applyBorder="1"/>
    <xf numFmtId="165" fontId="0" fillId="0" borderId="0" xfId="0" applyNumberFormat="1" applyFill="1" applyBorder="1"/>
    <xf numFmtId="0" fontId="2" fillId="0" borderId="0" xfId="0" applyFont="1" applyAlignment="1">
      <alignment horizontal="center" wrapText="1"/>
    </xf>
    <xf numFmtId="0" fontId="0" fillId="0" borderId="0" xfId="0" applyFill="1" applyBorder="1"/>
    <xf numFmtId="0" fontId="2" fillId="0" borderId="0" xfId="0" applyFont="1" applyFill="1" applyBorder="1" applyAlignment="1">
      <alignment horizontal="center" wrapText="1"/>
    </xf>
    <xf numFmtId="0" fontId="2" fillId="0" borderId="0" xfId="0" applyFont="1" applyFill="1" applyBorder="1" applyAlignment="1">
      <alignment horizontal="center"/>
    </xf>
    <xf numFmtId="0" fontId="2" fillId="0" borderId="0" xfId="0" applyFont="1" applyFill="1" applyBorder="1"/>
    <xf numFmtId="10" fontId="5" fillId="0" borderId="0" xfId="3" applyNumberFormat="1" applyFill="1" applyBorder="1"/>
    <xf numFmtId="10" fontId="5" fillId="0" borderId="0" xfId="3" quotePrefix="1" applyNumberFormat="1" applyFill="1" applyBorder="1" applyAlignment="1"/>
    <xf numFmtId="164" fontId="0" fillId="0" borderId="0" xfId="1" applyFont="1" applyFill="1" applyBorder="1"/>
    <xf numFmtId="2" fontId="0" fillId="0" borderId="0" xfId="0" applyNumberFormat="1" applyFill="1" applyBorder="1"/>
    <xf numFmtId="164" fontId="0" fillId="0" borderId="0" xfId="0" applyNumberFormat="1" applyFill="1" applyBorder="1"/>
    <xf numFmtId="0" fontId="0" fillId="0" borderId="0" xfId="0" applyFill="1" applyBorder="1" applyAlignment="1">
      <alignment horizontal="center"/>
    </xf>
    <xf numFmtId="2" fontId="2" fillId="0" borderId="0" xfId="0" applyNumberFormat="1" applyFont="1" applyFill="1" applyBorder="1"/>
    <xf numFmtId="168" fontId="0" fillId="3" borderId="1" xfId="2" applyNumberFormat="1" applyFont="1" applyFill="1" applyBorder="1"/>
    <xf numFmtId="168" fontId="0" fillId="3" borderId="2" xfId="2" applyNumberFormat="1" applyFont="1" applyFill="1" applyBorder="1"/>
    <xf numFmtId="168" fontId="0" fillId="3" borderId="3" xfId="2" applyNumberFormat="1" applyFont="1" applyFill="1" applyBorder="1"/>
    <xf numFmtId="169" fontId="0" fillId="0" borderId="0" xfId="0" applyNumberFormat="1"/>
    <xf numFmtId="170" fontId="0" fillId="0" borderId="0" xfId="1" applyNumberFormat="1" applyFont="1"/>
    <xf numFmtId="0" fontId="2" fillId="0" borderId="6" xfId="0" applyFont="1" applyBorder="1"/>
    <xf numFmtId="9" fontId="0" fillId="0" borderId="9" xfId="2" applyFont="1" applyFill="1" applyBorder="1"/>
    <xf numFmtId="10" fontId="0" fillId="0" borderId="10" xfId="2" applyNumberFormat="1" applyFont="1" applyFill="1" applyBorder="1"/>
    <xf numFmtId="9" fontId="0" fillId="0" borderId="11" xfId="2" applyFont="1" applyFill="1" applyBorder="1"/>
    <xf numFmtId="10" fontId="0" fillId="0" borderId="12" xfId="2" applyNumberFormat="1" applyFont="1" applyFill="1" applyBorder="1"/>
    <xf numFmtId="166" fontId="0" fillId="0" borderId="12" xfId="0" applyNumberFormat="1" applyFill="1" applyBorder="1"/>
    <xf numFmtId="165" fontId="0" fillId="0" borderId="12" xfId="0" applyNumberFormat="1" applyFill="1" applyBorder="1"/>
    <xf numFmtId="10" fontId="0" fillId="0" borderId="13" xfId="2" applyNumberFormat="1" applyFont="1" applyFill="1" applyBorder="1"/>
    <xf numFmtId="0" fontId="2" fillId="0" borderId="11" xfId="0" applyFont="1" applyBorder="1" applyAlignment="1">
      <alignment horizontal="center" wrapText="1"/>
    </xf>
    <xf numFmtId="0" fontId="2" fillId="0" borderId="7" xfId="0" applyFont="1" applyBorder="1" applyAlignment="1">
      <alignment horizontal="center" wrapText="1"/>
    </xf>
    <xf numFmtId="0" fontId="2" fillId="0" borderId="12" xfId="0" applyFont="1" applyBorder="1" applyAlignment="1">
      <alignment horizontal="center" wrapText="1"/>
    </xf>
    <xf numFmtId="0" fontId="2" fillId="0" borderId="8" xfId="0" applyFont="1" applyBorder="1" applyAlignment="1">
      <alignment horizontal="center" wrapText="1"/>
    </xf>
    <xf numFmtId="0" fontId="2" fillId="0" borderId="13" xfId="0" applyFont="1" applyBorder="1" applyAlignment="1">
      <alignment horizontal="center" wrapText="1"/>
    </xf>
    <xf numFmtId="2" fontId="2" fillId="0" borderId="7" xfId="0" applyNumberFormat="1" applyFont="1" applyBorder="1" applyAlignment="1">
      <alignment horizontal="center" wrapText="1"/>
    </xf>
    <xf numFmtId="2" fontId="2" fillId="0" borderId="12" xfId="0" applyNumberFormat="1" applyFont="1" applyBorder="1" applyAlignment="1">
      <alignment horizontal="center" wrapText="1"/>
    </xf>
    <xf numFmtId="169" fontId="0" fillId="0" borderId="0" xfId="0" applyNumberFormat="1" applyFill="1" applyBorder="1"/>
  </cellXfs>
  <cellStyles count="4">
    <cellStyle name="Comma" xfId="1" builtinId="3"/>
    <cellStyle name="Normal" xfId="0" builtinId="0"/>
    <cellStyle name="Normal_EXAMPLE3" xfId="3"/>
    <cellStyle name="Percent" xfId="2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790575</xdr:colOff>
      <xdr:row>15</xdr:row>
      <xdr:rowOff>152400</xdr:rowOff>
    </xdr:from>
    <xdr:to>
      <xdr:col>11</xdr:col>
      <xdr:colOff>533400</xdr:colOff>
      <xdr:row>17</xdr:row>
      <xdr:rowOff>171450</xdr:rowOff>
    </xdr:to>
    <xdr:pic>
      <xdr:nvPicPr>
        <xdr:cNvPr id="1031" name="Picture 7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9077325" y="3219450"/>
          <a:ext cx="1438275" cy="419100"/>
        </a:xfrm>
        <a:prstGeom prst="rect">
          <a:avLst/>
        </a:prstGeom>
        <a:noFill/>
      </xdr:spPr>
    </xdr:pic>
    <xdr:clientData/>
  </xdr:twoCellAnchor>
  <xdr:twoCellAnchor>
    <xdr:from>
      <xdr:col>12</xdr:col>
      <xdr:colOff>666750</xdr:colOff>
      <xdr:row>16</xdr:row>
      <xdr:rowOff>47625</xdr:rowOff>
    </xdr:from>
    <xdr:to>
      <xdr:col>14</xdr:col>
      <xdr:colOff>152400</xdr:colOff>
      <xdr:row>17</xdr:row>
      <xdr:rowOff>57150</xdr:rowOff>
    </xdr:to>
    <xdr:pic>
      <xdr:nvPicPr>
        <xdr:cNvPr id="1032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11496675" y="3314700"/>
          <a:ext cx="942975" cy="209550"/>
        </a:xfrm>
        <a:prstGeom prst="rect">
          <a:avLst/>
        </a:prstGeom>
        <a:noFill/>
      </xdr:spPr>
    </xdr:pic>
    <xdr:clientData/>
  </xdr:twoCellAnchor>
  <xdr:twoCellAnchor>
    <xdr:from>
      <xdr:col>9</xdr:col>
      <xdr:colOff>809625</xdr:colOff>
      <xdr:row>17</xdr:row>
      <xdr:rowOff>171450</xdr:rowOff>
    </xdr:from>
    <xdr:to>
      <xdr:col>13</xdr:col>
      <xdr:colOff>581025</xdr:colOff>
      <xdr:row>20</xdr:row>
      <xdr:rowOff>161925</xdr:rowOff>
    </xdr:to>
    <xdr:sp macro="" textlink="">
      <xdr:nvSpPr>
        <xdr:cNvPr id="4" name="TextBox 3"/>
        <xdr:cNvSpPr txBox="1"/>
      </xdr:nvSpPr>
      <xdr:spPr>
        <a:xfrm>
          <a:off x="9096375" y="3638550"/>
          <a:ext cx="3162300" cy="5619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/>
            <a:t>Please use GRG Non-Linear as Optimization Model. Linearity</a:t>
          </a:r>
          <a:r>
            <a:rPr lang="en-US" sz="1100" baseline="0"/>
            <a:t> constraints are not satisfied.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7</xdr:row>
      <xdr:rowOff>0</xdr:rowOff>
    </xdr:from>
    <xdr:to>
      <xdr:col>18</xdr:col>
      <xdr:colOff>247650</xdr:colOff>
      <xdr:row>9</xdr:row>
      <xdr:rowOff>180975</xdr:rowOff>
    </xdr:to>
    <xdr:sp macro="" textlink="">
      <xdr:nvSpPr>
        <xdr:cNvPr id="2" name="TextBox 1"/>
        <xdr:cNvSpPr txBox="1"/>
      </xdr:nvSpPr>
      <xdr:spPr>
        <a:xfrm>
          <a:off x="12525375" y="1524000"/>
          <a:ext cx="3162300" cy="5619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/>
            <a:t>Run optimization</a:t>
          </a:r>
          <a:r>
            <a:rPr lang="en-US" sz="1100" baseline="0"/>
            <a:t> according to Minimum Variance portfolio first. Required for input in cell J18.</a:t>
          </a:r>
          <a:endParaRPr lang="en-US" sz="1100"/>
        </a:p>
      </xdr:txBody>
    </xdr:sp>
    <xdr:clientData/>
  </xdr:twoCellAnchor>
  <xdr:twoCellAnchor>
    <xdr:from>
      <xdr:col>6</xdr:col>
      <xdr:colOff>38100</xdr:colOff>
      <xdr:row>25</xdr:row>
      <xdr:rowOff>47624</xdr:rowOff>
    </xdr:from>
    <xdr:to>
      <xdr:col>6</xdr:col>
      <xdr:colOff>800100</xdr:colOff>
      <xdr:row>34</xdr:row>
      <xdr:rowOff>152399</xdr:rowOff>
    </xdr:to>
    <xdr:sp macro="" textlink="">
      <xdr:nvSpPr>
        <xdr:cNvPr id="4" name="Right Triangle 3"/>
        <xdr:cNvSpPr/>
      </xdr:nvSpPr>
      <xdr:spPr>
        <a:xfrm>
          <a:off x="5124450" y="5057774"/>
          <a:ext cx="762000" cy="1819275"/>
        </a:xfrm>
        <a:prstGeom prst="rtTriangle">
          <a:avLst/>
        </a:prstGeom>
        <a:solidFill>
          <a:srgbClr val="FFC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/>
        </a:p>
      </xdr:txBody>
    </xdr:sp>
    <xdr:clientData/>
  </xdr:twoCellAnchor>
  <xdr:twoCellAnchor>
    <xdr:from>
      <xdr:col>6</xdr:col>
      <xdr:colOff>104775</xdr:colOff>
      <xdr:row>25</xdr:row>
      <xdr:rowOff>66675</xdr:rowOff>
    </xdr:from>
    <xdr:to>
      <xdr:col>6</xdr:col>
      <xdr:colOff>866775</xdr:colOff>
      <xdr:row>34</xdr:row>
      <xdr:rowOff>161925</xdr:rowOff>
    </xdr:to>
    <xdr:sp macro="" textlink="">
      <xdr:nvSpPr>
        <xdr:cNvPr id="5" name="Right Triangle 4"/>
        <xdr:cNvSpPr/>
      </xdr:nvSpPr>
      <xdr:spPr>
        <a:xfrm>
          <a:off x="5191125" y="5076825"/>
          <a:ext cx="762000" cy="1809750"/>
        </a:xfrm>
        <a:prstGeom prst="rtTriangle">
          <a:avLst/>
        </a:prstGeom>
        <a:solidFill>
          <a:schemeClr val="tx2">
            <a:lumMod val="20000"/>
            <a:lumOff val="80000"/>
          </a:schemeClr>
        </a:solidFill>
        <a:scene3d>
          <a:camera prst="orthographicFront">
            <a:rot lat="0" lon="0" rev="10800000"/>
          </a:camera>
          <a:lightRig rig="threePt" dir="t"/>
        </a:scene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301"/>
  <sheetViews>
    <sheetView showGridLines="0" tabSelected="1" topLeftCell="A70" zoomScale="90" zoomScaleNormal="90" workbookViewId="0">
      <selection activeCell="J98" sqref="J98"/>
    </sheetView>
  </sheetViews>
  <sheetFormatPr defaultRowHeight="15" x14ac:dyDescent="0.25"/>
  <cols>
    <col min="1" max="5" width="8.5703125" customWidth="1"/>
    <col min="6" max="7" width="7.42578125" customWidth="1"/>
    <col min="8" max="8" width="22.5703125" customWidth="1"/>
    <col min="9" max="13" width="12.7109375" customWidth="1"/>
  </cols>
  <sheetData>
    <row r="1" spans="1:16" ht="30" x14ac:dyDescent="0.25">
      <c r="A1" s="19" t="s">
        <v>0</v>
      </c>
      <c r="B1" s="19" t="s">
        <v>1</v>
      </c>
      <c r="C1" s="19" t="s">
        <v>2</v>
      </c>
      <c r="D1" s="19" t="s">
        <v>3</v>
      </c>
      <c r="E1" s="19" t="s">
        <v>4</v>
      </c>
      <c r="I1" s="19" t="str">
        <f ca="1">A1</f>
        <v>Equities Switzerland</v>
      </c>
      <c r="J1" s="19" t="str">
        <f t="shared" ref="J1:M1" ca="1" si="0">B1</f>
        <v>Equities Germany</v>
      </c>
      <c r="K1" s="19" t="str">
        <f t="shared" ca="1" si="0"/>
        <v>Equities USA</v>
      </c>
      <c r="L1" s="19" t="str">
        <f t="shared" ca="1" si="0"/>
        <v>Equities UK</v>
      </c>
      <c r="M1" s="19" t="str">
        <f t="shared" ca="1" si="0"/>
        <v>Equities Japan</v>
      </c>
      <c r="N1" s="12" t="s">
        <v>12</v>
      </c>
    </row>
    <row r="2" spans="1:16" x14ac:dyDescent="0.25">
      <c r="A2" s="3">
        <v>9.0371758600183814</v>
      </c>
      <c r="B2" s="3">
        <v>-1.8452505766407958</v>
      </c>
      <c r="C2" s="3">
        <v>1.0520479185210099</v>
      </c>
      <c r="D2" s="3">
        <v>8.923992204328643</v>
      </c>
      <c r="E2" s="3">
        <v>-0.25072895903002068</v>
      </c>
      <c r="H2" s="1" t="s">
        <v>5</v>
      </c>
      <c r="I2" s="3">
        <f ca="1">AVERAGE(A2:A301)</f>
        <v>1.0149274318397652</v>
      </c>
      <c r="J2" s="3">
        <f t="shared" ref="J2:M2" ca="1" si="1">AVERAGE(B2:B301)</f>
        <v>0.8834617641008411</v>
      </c>
      <c r="K2" s="3">
        <f t="shared" ca="1" si="1"/>
        <v>1.0930775127492247</v>
      </c>
      <c r="L2" s="3">
        <f t="shared" ca="1" si="1"/>
        <v>1.2515154174496046</v>
      </c>
      <c r="M2" s="3">
        <f t="shared" ca="1" si="1"/>
        <v>0.53481897664104816</v>
      </c>
    </row>
    <row r="3" spans="1:16" x14ac:dyDescent="0.25">
      <c r="A3" s="3">
        <v>1.8228994513122254</v>
      </c>
      <c r="B3" s="3">
        <v>-2.2188990956348458</v>
      </c>
      <c r="C3" s="3">
        <v>5.729632945389441</v>
      </c>
      <c r="D3" s="3">
        <v>12.820929894100624</v>
      </c>
      <c r="E3" s="3">
        <v>4.756336827919877E-2</v>
      </c>
      <c r="H3" s="1" t="s">
        <v>9</v>
      </c>
      <c r="I3" s="34">
        <f ca="1">VAR(A2:A301)</f>
        <v>29.479205075863025</v>
      </c>
      <c r="J3" s="34">
        <f t="shared" ref="J3:M3" ca="1" si="2">VAR(B2:B301)</f>
        <v>50.699196092398104</v>
      </c>
      <c r="K3" s="34">
        <f t="shared" ca="1" si="2"/>
        <v>24.563792689812541</v>
      </c>
      <c r="L3" s="34">
        <f t="shared" ca="1" si="2"/>
        <v>30.579482355761883</v>
      </c>
      <c r="M3" s="34">
        <f t="shared" ca="1" si="2"/>
        <v>38.53279954718635</v>
      </c>
    </row>
    <row r="4" spans="1:16" x14ac:dyDescent="0.25">
      <c r="A4" s="3">
        <v>1.4737628020970184</v>
      </c>
      <c r="B4" s="3">
        <v>-0.19881439620140418</v>
      </c>
      <c r="C4" s="3">
        <v>4.0288437901175533E-2</v>
      </c>
      <c r="D4" s="3">
        <v>5.5875099594035866</v>
      </c>
      <c r="E4" s="3">
        <v>2.4958897054453981</v>
      </c>
      <c r="H4" s="1" t="s">
        <v>6</v>
      </c>
      <c r="I4" s="34">
        <f ca="1">STDEV(A2:A301)</f>
        <v>5.4294755801884795</v>
      </c>
      <c r="J4" s="34">
        <f ca="1">STDEV(B2:B301)</f>
        <v>7.120336796275728</v>
      </c>
      <c r="K4" s="34">
        <f ca="1">STDEV(C2:C301)</f>
        <v>4.9561873138343495</v>
      </c>
      <c r="L4" s="34">
        <f ca="1">STDEV(D2:D301)</f>
        <v>5.5298718209160942</v>
      </c>
      <c r="M4" s="34">
        <f ca="1">STDEV(E2:E301)</f>
        <v>6.2074793231380445</v>
      </c>
      <c r="O4" s="2"/>
    </row>
    <row r="5" spans="1:16" x14ac:dyDescent="0.25">
      <c r="A5" s="3">
        <v>-3.6564884275180254</v>
      </c>
      <c r="B5" s="3">
        <v>-7.7385599929947899</v>
      </c>
      <c r="C5" s="3">
        <v>1.9105410810699972</v>
      </c>
      <c r="D5" s="3">
        <v>-11.047549919690127</v>
      </c>
      <c r="E5" s="3">
        <v>0.38169414220281073</v>
      </c>
    </row>
    <row r="6" spans="1:16" x14ac:dyDescent="0.25">
      <c r="A6" s="3">
        <v>0.78777414374180099</v>
      </c>
      <c r="B6" s="3">
        <v>3.6049859217311466</v>
      </c>
      <c r="C6" s="3">
        <v>1.1386317664867296</v>
      </c>
      <c r="D6" s="3">
        <v>-4.0084507497414581</v>
      </c>
      <c r="E6" s="3">
        <v>-0.53522780874269804</v>
      </c>
      <c r="H6" s="1" t="s">
        <v>7</v>
      </c>
      <c r="I6" s="2"/>
      <c r="J6" s="2"/>
      <c r="K6" s="2"/>
      <c r="L6" s="2"/>
      <c r="M6" s="2"/>
    </row>
    <row r="7" spans="1:16" x14ac:dyDescent="0.25">
      <c r="A7" s="3">
        <v>3.9566775110159389</v>
      </c>
      <c r="B7" s="3">
        <v>2.2581186924591954</v>
      </c>
      <c r="C7" s="3">
        <v>4.8303995973563145</v>
      </c>
      <c r="D7" s="3">
        <v>8.642042848305552</v>
      </c>
      <c r="E7" s="3">
        <v>5.3797886926364988</v>
      </c>
      <c r="H7" t="str">
        <f t="array" aca="1" ref="H7:H11" ca="1">TRANSPOSE(I1:M1)</f>
        <v>Equities Switzerland</v>
      </c>
      <c r="I7" s="35">
        <f t="array" aca="1" ref="I7:M11" ca="1">COVARM(A2:E301)</f>
        <v>29.380941058943456</v>
      </c>
      <c r="J7" s="35">
        <f ca="1"/>
        <v>25.948017477217377</v>
      </c>
      <c r="K7" s="35">
        <f ca="1"/>
        <v>17.550915091948184</v>
      </c>
      <c r="L7" s="35">
        <f ca="1"/>
        <v>19.264314198697001</v>
      </c>
      <c r="M7" s="35">
        <f ca="1"/>
        <v>13.37348792947652</v>
      </c>
    </row>
    <row r="8" spans="1:16" x14ac:dyDescent="0.25">
      <c r="A8" s="3">
        <v>-2.6010347095128319</v>
      </c>
      <c r="B8" s="3">
        <v>-4.9801421404682218</v>
      </c>
      <c r="C8" s="3">
        <v>-6.3930863698387688</v>
      </c>
      <c r="D8" s="3">
        <v>-4.9123622489493215</v>
      </c>
      <c r="E8" s="3">
        <v>-1.7636560120740559</v>
      </c>
      <c r="H8" t="str">
        <f ca="1"/>
        <v>Equities Germany</v>
      </c>
      <c r="I8" s="35">
        <f ca="1"/>
        <v>25.948017477217377</v>
      </c>
      <c r="J8" s="35">
        <f ca="1"/>
        <v>50.530198772090088</v>
      </c>
      <c r="K8" s="35">
        <f ca="1"/>
        <v>19.954626798668407</v>
      </c>
      <c r="L8" s="35">
        <f ca="1"/>
        <v>19.270301270912316</v>
      </c>
      <c r="M8" s="35">
        <f ca="1"/>
        <v>14.992366173106156</v>
      </c>
    </row>
    <row r="9" spans="1:16" x14ac:dyDescent="0.25">
      <c r="A9" s="3">
        <v>-0.81180451617101967</v>
      </c>
      <c r="B9" s="3">
        <v>0.85087326466636681</v>
      </c>
      <c r="C9" s="3">
        <v>4.1592430623042738</v>
      </c>
      <c r="D9" s="3">
        <v>-1.0351022270381234</v>
      </c>
      <c r="E9" s="3">
        <v>0.59646607871857771</v>
      </c>
      <c r="H9" t="str">
        <f ca="1"/>
        <v>Equities USA</v>
      </c>
      <c r="I9" s="35">
        <f ca="1"/>
        <v>17.550915091948184</v>
      </c>
      <c r="J9" s="35">
        <f ca="1"/>
        <v>19.954626798668407</v>
      </c>
      <c r="K9" s="35">
        <f ca="1"/>
        <v>24.48191338084651</v>
      </c>
      <c r="L9" s="35">
        <f ca="1"/>
        <v>19.596798502746193</v>
      </c>
      <c r="M9" s="35">
        <f ca="1"/>
        <v>13.485455533120687</v>
      </c>
    </row>
    <row r="10" spans="1:16" x14ac:dyDescent="0.25">
      <c r="A10" s="3">
        <v>0.42890649346388832</v>
      </c>
      <c r="B10" s="3">
        <v>-1.3002087812782486</v>
      </c>
      <c r="C10" s="3">
        <v>1.6405445156441409</v>
      </c>
      <c r="D10" s="3">
        <v>-1.5254669838891541</v>
      </c>
      <c r="E10" s="3">
        <v>2.0981772220914139</v>
      </c>
      <c r="H10" t="str">
        <f ca="1"/>
        <v>Equities UK</v>
      </c>
      <c r="I10" s="35">
        <f ca="1"/>
        <v>19.264314198697001</v>
      </c>
      <c r="J10" s="35">
        <f ca="1"/>
        <v>19.270301270912316</v>
      </c>
      <c r="K10" s="35">
        <f ca="1"/>
        <v>19.596798502746193</v>
      </c>
      <c r="L10" s="35">
        <f ca="1"/>
        <v>30.477550747909358</v>
      </c>
      <c r="M10" s="35">
        <f ca="1"/>
        <v>15.691825601734511</v>
      </c>
    </row>
    <row r="11" spans="1:16" x14ac:dyDescent="0.25">
      <c r="A11" s="3">
        <v>-0.50056752762103818</v>
      </c>
      <c r="B11" s="3">
        <v>2.7191286159674757</v>
      </c>
      <c r="C11" s="3">
        <v>4.9773380675841885</v>
      </c>
      <c r="D11" s="3">
        <v>14.944657158621617</v>
      </c>
      <c r="E11" s="3">
        <v>2.502298400677236</v>
      </c>
      <c r="H11" t="str">
        <f ca="1"/>
        <v>Equities Japan</v>
      </c>
      <c r="I11" s="35">
        <f ca="1"/>
        <v>13.37348792947652</v>
      </c>
      <c r="J11" s="35">
        <f ca="1"/>
        <v>14.992366173106156</v>
      </c>
      <c r="K11" s="35">
        <f ca="1"/>
        <v>13.485455533120687</v>
      </c>
      <c r="L11" s="35">
        <f ca="1"/>
        <v>15.691825601734511</v>
      </c>
      <c r="M11" s="35">
        <f ca="1"/>
        <v>38.404356882029042</v>
      </c>
    </row>
    <row r="12" spans="1:16" x14ac:dyDescent="0.25">
      <c r="A12" s="3">
        <v>-8.1084630030858094</v>
      </c>
      <c r="B12" s="3">
        <v>-6.0565544797909876</v>
      </c>
      <c r="C12" s="3">
        <v>-8.8365851140703988</v>
      </c>
      <c r="D12" s="3">
        <v>-8.6923476939077613</v>
      </c>
      <c r="E12" s="3">
        <v>-2.9047669792554665</v>
      </c>
    </row>
    <row r="13" spans="1:16" ht="15.75" thickBot="1" x14ac:dyDescent="0.3">
      <c r="A13" s="3">
        <v>3.6135324378393756</v>
      </c>
      <c r="B13" s="3">
        <v>3.6333000703430511</v>
      </c>
      <c r="C13" s="3">
        <v>4.3496506291340005</v>
      </c>
      <c r="D13" s="3">
        <v>3.6302302796651378</v>
      </c>
      <c r="E13" s="3">
        <v>3.3047672181725538</v>
      </c>
    </row>
    <row r="14" spans="1:16" ht="15.75" thickBot="1" x14ac:dyDescent="0.3">
      <c r="A14" s="3">
        <v>0.34392400917130767</v>
      </c>
      <c r="B14" s="3">
        <v>2.8271507498026893</v>
      </c>
      <c r="C14" s="3">
        <v>4.8232763298160837</v>
      </c>
      <c r="D14" s="3">
        <v>-1.6756276878259548</v>
      </c>
      <c r="E14" s="3">
        <v>-0.37538623170655877</v>
      </c>
      <c r="H14" s="1" t="s">
        <v>8</v>
      </c>
      <c r="I14" s="31">
        <v>0.24771221905360011</v>
      </c>
      <c r="J14" s="32">
        <v>0</v>
      </c>
      <c r="K14" s="32">
        <v>0.41421183049122096</v>
      </c>
      <c r="L14" s="32">
        <v>9.8349676080545068E-2</v>
      </c>
      <c r="M14" s="33">
        <v>0.23972627437463384</v>
      </c>
      <c r="N14" s="13">
        <f ca="1">SUM(I14:M14)</f>
        <v>1</v>
      </c>
      <c r="O14" s="7" t="s">
        <v>11</v>
      </c>
      <c r="P14" s="8">
        <v>1</v>
      </c>
    </row>
    <row r="15" spans="1:16" x14ac:dyDescent="0.25">
      <c r="A15" s="3">
        <v>3.3518593284255203</v>
      </c>
      <c r="B15" s="3">
        <v>3.1830951320980572</v>
      </c>
      <c r="C15" s="3">
        <v>3.2518740903582568</v>
      </c>
      <c r="D15" s="3">
        <v>11.330083919309267</v>
      </c>
      <c r="E15" s="3">
        <v>1.0447924782050977</v>
      </c>
      <c r="H15" s="3"/>
      <c r="I15" s="2">
        <f ca="1">I14^2</f>
        <v>6.1361343468458764E-2</v>
      </c>
      <c r="J15" s="2">
        <f t="shared" ref="J15:M15" ca="1" si="3">J14^2</f>
        <v>0</v>
      </c>
      <c r="K15" s="2">
        <f t="shared" ca="1" si="3"/>
        <v>0.17157144051888795</v>
      </c>
      <c r="L15" s="2">
        <f t="shared" ca="1" si="3"/>
        <v>9.6726587851481381E-3</v>
      </c>
      <c r="M15" s="2">
        <f t="shared" ca="1" si="3"/>
        <v>5.7468686625542227E-2</v>
      </c>
    </row>
    <row r="16" spans="1:16" ht="15.75" thickBot="1" x14ac:dyDescent="0.3">
      <c r="A16" s="3">
        <v>3.0977018659352562</v>
      </c>
      <c r="B16" s="3">
        <v>1.8917049148621252</v>
      </c>
      <c r="C16" s="3">
        <v>7.3823524207769813</v>
      </c>
      <c r="D16" s="3">
        <v>4.9707191708680174</v>
      </c>
      <c r="E16" s="3">
        <v>1.7282017906457343</v>
      </c>
      <c r="H16" s="3"/>
      <c r="I16" s="2"/>
      <c r="J16" s="2"/>
      <c r="K16" s="2"/>
      <c r="L16" s="2"/>
      <c r="M16" s="2"/>
    </row>
    <row r="17" spans="1:16" ht="15.75" thickBot="1" x14ac:dyDescent="0.3">
      <c r="A17" s="3">
        <v>-0.27329452927234216</v>
      </c>
      <c r="B17" s="3">
        <v>1.8303010834331142</v>
      </c>
      <c r="C17" s="3">
        <v>2.522656121272048</v>
      </c>
      <c r="D17" s="3">
        <v>3.0994762296562368</v>
      </c>
      <c r="E17" s="3">
        <v>2.5801078383059339</v>
      </c>
      <c r="H17" s="5" t="s">
        <v>10</v>
      </c>
      <c r="I17" s="6">
        <f t="array" aca="1" ref="I17" ca="1">MMULT(MMULT(I14:M14,I7:M11),TRANSPOSE(I14:M14))</f>
        <v>19.648430932276327</v>
      </c>
      <c r="K17" s="2"/>
      <c r="L17" s="2"/>
      <c r="M17" s="2" t="s">
        <v>23</v>
      </c>
    </row>
    <row r="18" spans="1:16" x14ac:dyDescent="0.25">
      <c r="A18" s="3">
        <v>0.87790918571093546</v>
      </c>
      <c r="B18" s="3">
        <v>0.67967220871957712</v>
      </c>
      <c r="C18" s="3">
        <v>13.225438356824856</v>
      </c>
      <c r="D18" s="3">
        <v>8.3240065790114137</v>
      </c>
      <c r="E18" s="3">
        <v>1.8735566955280689</v>
      </c>
      <c r="H18" s="3"/>
      <c r="I18" s="2"/>
      <c r="J18" s="2"/>
      <c r="K18" s="2"/>
      <c r="L18" s="2"/>
      <c r="M18" s="2"/>
    </row>
    <row r="19" spans="1:16" x14ac:dyDescent="0.25">
      <c r="A19" s="3">
        <v>0.95120563511206724</v>
      </c>
      <c r="B19" s="3">
        <v>-2.1235232540750708</v>
      </c>
      <c r="C19" s="3">
        <v>-3.4766974213390043</v>
      </c>
      <c r="D19" s="3">
        <v>-5.502347924003943</v>
      </c>
      <c r="E19" s="3">
        <v>0.60806953778443207</v>
      </c>
      <c r="H19" s="3"/>
      <c r="J19" s="2"/>
      <c r="L19" s="2"/>
      <c r="M19" s="2"/>
    </row>
    <row r="20" spans="1:16" x14ac:dyDescent="0.25">
      <c r="A20" s="3">
        <v>-0.98510827459198547</v>
      </c>
      <c r="B20" s="3">
        <v>-2.7065371603186721</v>
      </c>
      <c r="C20" s="3">
        <v>-1.6651797531396846</v>
      </c>
      <c r="D20" s="3">
        <v>4.2384618066229613</v>
      </c>
      <c r="E20" s="3">
        <v>3.1927373995416923</v>
      </c>
      <c r="H20" s="20"/>
      <c r="I20" s="20"/>
      <c r="J20" s="20"/>
      <c r="K20" s="20"/>
      <c r="L20" s="20"/>
      <c r="M20" s="20"/>
      <c r="N20" s="20"/>
      <c r="O20" s="20"/>
      <c r="P20" s="20"/>
    </row>
    <row r="21" spans="1:16" x14ac:dyDescent="0.25">
      <c r="A21" s="3">
        <v>-0.35675632340561442</v>
      </c>
      <c r="B21" s="3">
        <v>2.9156851747990284</v>
      </c>
      <c r="C21" s="3">
        <v>3.3398968121432753</v>
      </c>
      <c r="D21" s="3">
        <v>-7.6311973074939685E-2</v>
      </c>
      <c r="E21" s="3">
        <v>7.2193180973023452</v>
      </c>
      <c r="H21" s="20"/>
      <c r="I21" s="21"/>
      <c r="J21" s="21"/>
      <c r="L21" s="21"/>
      <c r="M21" s="21"/>
      <c r="N21" s="22"/>
      <c r="O21" s="20"/>
      <c r="P21" s="20"/>
    </row>
    <row r="22" spans="1:16" x14ac:dyDescent="0.25">
      <c r="A22" s="3">
        <v>-5.6352079813339806</v>
      </c>
      <c r="B22" s="3">
        <v>2.8883043655176381</v>
      </c>
      <c r="C22" s="3">
        <v>-2.1176527338945101</v>
      </c>
      <c r="D22" s="3">
        <v>2.6078463588732403</v>
      </c>
      <c r="E22" s="3">
        <v>10.733175607882982</v>
      </c>
      <c r="H22" s="23"/>
      <c r="I22" s="16"/>
      <c r="J22" s="16"/>
      <c r="K22" s="16"/>
      <c r="L22" s="16"/>
      <c r="M22" s="16"/>
      <c r="N22" s="16"/>
      <c r="O22" s="20"/>
      <c r="P22" s="20"/>
    </row>
    <row r="23" spans="1:16" x14ac:dyDescent="0.25">
      <c r="A23" s="3">
        <v>2.6951213273536494</v>
      </c>
      <c r="B23" s="3">
        <v>6.9831001631367489</v>
      </c>
      <c r="C23" s="3">
        <v>-0.19564842421703244</v>
      </c>
      <c r="D23" s="3">
        <v>2.1714956721317247</v>
      </c>
      <c r="E23" s="3">
        <v>4.6474115172938308</v>
      </c>
      <c r="H23" s="23"/>
      <c r="I23" s="9"/>
      <c r="J23" s="9"/>
      <c r="K23" s="9"/>
      <c r="L23" s="9"/>
      <c r="M23" s="9"/>
      <c r="N23" s="20"/>
      <c r="O23" s="20"/>
      <c r="P23" s="20"/>
    </row>
    <row r="24" spans="1:16" x14ac:dyDescent="0.25">
      <c r="A24" s="3">
        <v>0.27979111144321012</v>
      </c>
      <c r="B24" s="3">
        <v>0.99216434413514976</v>
      </c>
      <c r="C24" s="3">
        <v>0.74018111970293765</v>
      </c>
      <c r="D24" s="3">
        <v>0.95601295580400281</v>
      </c>
      <c r="E24" s="3">
        <v>1.909127253058774</v>
      </c>
      <c r="H24" s="23"/>
      <c r="I24" s="9"/>
      <c r="J24" s="9"/>
      <c r="K24" s="9"/>
      <c r="L24" s="9"/>
      <c r="M24" s="9"/>
      <c r="N24" s="20"/>
      <c r="O24" s="9"/>
      <c r="P24" s="20"/>
    </row>
    <row r="25" spans="1:16" x14ac:dyDescent="0.25">
      <c r="A25" s="3">
        <v>-2.6799907272486498</v>
      </c>
      <c r="B25" s="3">
        <v>-1.543238120138583</v>
      </c>
      <c r="C25" s="3">
        <v>-5.7029561262051649</v>
      </c>
      <c r="D25" s="3">
        <v>5.378755210579266</v>
      </c>
      <c r="E25" s="3">
        <v>-0.23663524816282225</v>
      </c>
      <c r="H25" s="20"/>
      <c r="I25" s="20"/>
      <c r="J25" s="20"/>
      <c r="K25" s="20"/>
      <c r="L25" s="20"/>
      <c r="M25" s="20"/>
      <c r="N25" s="20"/>
      <c r="O25" s="20"/>
      <c r="P25" s="20"/>
    </row>
    <row r="26" spans="1:16" x14ac:dyDescent="0.25">
      <c r="A26" s="3">
        <v>-7.2158370694275487</v>
      </c>
      <c r="B26" s="3">
        <v>-4.921363084133854</v>
      </c>
      <c r="C26" s="3">
        <v>-4.69638531671362</v>
      </c>
      <c r="D26" s="3">
        <v>-16.051669576604102</v>
      </c>
      <c r="E26" s="3">
        <v>-8.3916686818559327</v>
      </c>
      <c r="H26" s="23"/>
      <c r="I26" s="9"/>
      <c r="J26" s="9"/>
      <c r="K26" s="9"/>
      <c r="L26" s="9"/>
      <c r="M26" s="9"/>
      <c r="N26" s="20"/>
      <c r="O26" s="20"/>
      <c r="P26" s="20"/>
    </row>
    <row r="27" spans="1:16" x14ac:dyDescent="0.25">
      <c r="A27" s="3">
        <v>0.61431256590106975</v>
      </c>
      <c r="B27" s="3">
        <v>1.2016813763825296</v>
      </c>
      <c r="C27" s="3">
        <v>4.9692659274490385</v>
      </c>
      <c r="D27" s="3">
        <v>3.8999613286060999</v>
      </c>
      <c r="E27" s="3">
        <v>0.11041023945937881</v>
      </c>
      <c r="H27" s="20"/>
      <c r="I27" s="24"/>
      <c r="J27" s="24"/>
      <c r="K27" s="24"/>
      <c r="L27" s="24"/>
      <c r="M27" s="24"/>
      <c r="N27" s="20"/>
      <c r="O27" s="20"/>
      <c r="P27" s="20"/>
    </row>
    <row r="28" spans="1:16" x14ac:dyDescent="0.25">
      <c r="A28" s="3">
        <v>4.895429899302866</v>
      </c>
      <c r="B28" s="3">
        <v>2.765339423335643</v>
      </c>
      <c r="C28" s="3">
        <v>4.3822548296251638</v>
      </c>
      <c r="D28" s="3">
        <v>12.075803354163943</v>
      </c>
      <c r="E28" s="3">
        <v>0.51085802595103935</v>
      </c>
      <c r="H28" s="20"/>
      <c r="I28" s="24"/>
      <c r="J28" s="24"/>
      <c r="K28" s="24"/>
      <c r="L28" s="24"/>
      <c r="M28" s="24"/>
      <c r="N28" s="20"/>
      <c r="O28" s="20"/>
      <c r="P28" s="20"/>
    </row>
    <row r="29" spans="1:16" x14ac:dyDescent="0.25">
      <c r="A29" s="3">
        <v>-1.2987915591579924</v>
      </c>
      <c r="B29" s="3">
        <v>-1.8020074524153193</v>
      </c>
      <c r="C29" s="3">
        <v>-3.7447982000278741</v>
      </c>
      <c r="D29" s="3">
        <v>4.7640310215973409</v>
      </c>
      <c r="E29" s="3">
        <v>6.3849784536348171</v>
      </c>
      <c r="H29" s="20"/>
      <c r="I29" s="24"/>
      <c r="J29" s="24"/>
      <c r="K29" s="25"/>
      <c r="L29" s="24"/>
      <c r="M29" s="24"/>
      <c r="N29" s="20"/>
      <c r="O29" s="20"/>
      <c r="P29" s="20"/>
    </row>
    <row r="30" spans="1:16" x14ac:dyDescent="0.25">
      <c r="A30" s="3">
        <v>-0.21740661197762037</v>
      </c>
      <c r="B30" s="3">
        <v>1.8931909394848974</v>
      </c>
      <c r="C30" s="3">
        <v>-5.1611168284471605</v>
      </c>
      <c r="D30" s="3">
        <v>-3.9602879046994852</v>
      </c>
      <c r="E30" s="3">
        <v>-4.5211066461382758</v>
      </c>
      <c r="H30" s="20"/>
      <c r="I30" s="24"/>
      <c r="J30" s="24"/>
      <c r="K30" s="24"/>
      <c r="L30" s="24"/>
      <c r="M30" s="24"/>
      <c r="N30" s="20"/>
      <c r="O30" s="20"/>
      <c r="P30" s="20"/>
    </row>
    <row r="31" spans="1:16" x14ac:dyDescent="0.25">
      <c r="A31" s="3">
        <v>1.4078419265205344</v>
      </c>
      <c r="B31" s="3">
        <v>-3.0195262698777085E-2</v>
      </c>
      <c r="C31" s="3">
        <v>-0.53983608613385159</v>
      </c>
      <c r="D31" s="3">
        <v>3.996838032368554</v>
      </c>
      <c r="E31" s="3">
        <v>-5.4702624522191492</v>
      </c>
      <c r="H31" s="20"/>
      <c r="I31" s="24"/>
      <c r="J31" s="24"/>
      <c r="K31" s="24"/>
      <c r="L31" s="24"/>
      <c r="M31" s="24"/>
      <c r="N31" s="20"/>
      <c r="O31" s="20"/>
      <c r="P31" s="20"/>
    </row>
    <row r="32" spans="1:16" x14ac:dyDescent="0.25">
      <c r="A32" s="3">
        <v>0.83506580492515547</v>
      </c>
      <c r="B32" s="3">
        <v>-0.41749169379468676</v>
      </c>
      <c r="C32" s="3">
        <v>4.389826698611289</v>
      </c>
      <c r="D32" s="3">
        <v>1.5439597807678425</v>
      </c>
      <c r="E32" s="3">
        <v>3.2408738313871353</v>
      </c>
      <c r="H32" s="20"/>
      <c r="I32" s="20"/>
      <c r="J32" s="20"/>
      <c r="K32" s="20"/>
      <c r="L32" s="20"/>
      <c r="M32" s="20"/>
      <c r="N32" s="20"/>
      <c r="O32" s="20"/>
      <c r="P32" s="20"/>
    </row>
    <row r="33" spans="1:16" x14ac:dyDescent="0.25">
      <c r="A33" s="3">
        <v>-1.0524408864657817</v>
      </c>
      <c r="B33" s="3">
        <v>-1.2961452653289578</v>
      </c>
      <c r="C33" s="3">
        <v>-3.3129208113189672</v>
      </c>
      <c r="D33" s="3">
        <v>3.8856524502671261</v>
      </c>
      <c r="E33" s="3">
        <v>-0.21194534065438231</v>
      </c>
      <c r="H33" s="20"/>
      <c r="I33" s="20"/>
      <c r="J33" s="20"/>
      <c r="K33" s="20"/>
      <c r="L33" s="20"/>
      <c r="M33" s="20"/>
      <c r="N33" s="20"/>
      <c r="O33" s="20"/>
      <c r="P33" s="20"/>
    </row>
    <row r="34" spans="1:16" x14ac:dyDescent="0.25">
      <c r="A34" s="3">
        <v>-4.0793018369499849</v>
      </c>
      <c r="B34" s="3">
        <v>-0.49986342529363514</v>
      </c>
      <c r="C34" s="3">
        <v>-1.2525937272539689</v>
      </c>
      <c r="D34" s="3">
        <v>-3.6295786897514191</v>
      </c>
      <c r="E34" s="3">
        <v>-1.9641395214759285</v>
      </c>
      <c r="H34" s="23"/>
      <c r="I34" s="26"/>
      <c r="J34" s="27"/>
      <c r="K34" s="27"/>
      <c r="L34" s="27"/>
      <c r="M34" s="27"/>
      <c r="N34" s="28"/>
      <c r="O34" s="29"/>
      <c r="P34" s="27"/>
    </row>
    <row r="35" spans="1:16" x14ac:dyDescent="0.25">
      <c r="A35" s="3">
        <v>0.14724327861699654</v>
      </c>
      <c r="B35" s="3">
        <v>0.62865456941279596</v>
      </c>
      <c r="C35" s="3">
        <v>-1.7811564865340608</v>
      </c>
      <c r="D35" s="3">
        <v>3.7416179572476462</v>
      </c>
      <c r="E35" s="3">
        <v>-2.7600045164993379</v>
      </c>
      <c r="H35" s="27"/>
      <c r="I35" s="9"/>
      <c r="J35" s="9"/>
      <c r="K35" s="9"/>
      <c r="L35" s="9"/>
      <c r="M35" s="9"/>
      <c r="N35" s="20"/>
      <c r="O35" s="20"/>
      <c r="P35" s="20"/>
    </row>
    <row r="36" spans="1:16" x14ac:dyDescent="0.25">
      <c r="A36" s="3">
        <v>2.7744500108908756</v>
      </c>
      <c r="B36" s="3">
        <v>-0.4692274116106423</v>
      </c>
      <c r="C36" s="3">
        <v>12.311121565464788</v>
      </c>
      <c r="D36" s="3">
        <v>3.1155641649428203</v>
      </c>
      <c r="E36" s="3">
        <v>1.9558512246749271</v>
      </c>
      <c r="H36" s="27"/>
      <c r="I36" s="9"/>
      <c r="J36" s="9"/>
      <c r="K36" s="9"/>
      <c r="L36" s="9"/>
      <c r="M36" s="9"/>
      <c r="N36" s="20"/>
      <c r="O36" s="20"/>
      <c r="P36" s="20"/>
    </row>
    <row r="37" spans="1:16" x14ac:dyDescent="0.25">
      <c r="A37" s="3">
        <v>7.8293197693414935</v>
      </c>
      <c r="B37" s="3">
        <v>6.4548843328582306</v>
      </c>
      <c r="C37" s="3">
        <v>12.623668568237123</v>
      </c>
      <c r="D37" s="3">
        <v>9.3301353266920692</v>
      </c>
      <c r="E37" s="3">
        <v>2.95544061120866</v>
      </c>
      <c r="H37" s="30"/>
      <c r="I37" s="9"/>
      <c r="J37" s="9"/>
      <c r="K37" s="9"/>
      <c r="L37" s="9"/>
      <c r="M37" s="9"/>
      <c r="N37" s="20"/>
      <c r="O37" s="20"/>
      <c r="P37" s="20"/>
    </row>
    <row r="38" spans="1:16" x14ac:dyDescent="0.25">
      <c r="A38" s="3">
        <v>3.8744707510625997</v>
      </c>
      <c r="B38" s="3">
        <v>3.7237055536960253</v>
      </c>
      <c r="C38" s="3">
        <v>3.8915036904861999</v>
      </c>
      <c r="D38" s="3">
        <v>0.97779711887446341</v>
      </c>
      <c r="E38" s="3">
        <v>7.7653278514735549</v>
      </c>
      <c r="H38" s="20"/>
      <c r="I38" s="20"/>
      <c r="J38" s="20"/>
      <c r="K38" s="20"/>
      <c r="L38" s="20"/>
      <c r="M38" s="20"/>
      <c r="N38" s="20"/>
      <c r="O38" s="20"/>
      <c r="P38" s="20"/>
    </row>
    <row r="39" spans="1:16" x14ac:dyDescent="0.25">
      <c r="A39" s="3">
        <v>4.6413535375833623</v>
      </c>
      <c r="B39" s="3">
        <v>6.2454620487647601</v>
      </c>
      <c r="C39" s="3">
        <v>1.8104330037504341</v>
      </c>
      <c r="D39" s="3">
        <v>1.4877031791130657</v>
      </c>
      <c r="E39" s="3">
        <v>3.771938641306563</v>
      </c>
    </row>
    <row r="40" spans="1:16" x14ac:dyDescent="0.25">
      <c r="A40" s="3">
        <v>6.1224336033151294</v>
      </c>
      <c r="B40" s="3">
        <v>5.5033439443941452</v>
      </c>
      <c r="C40" s="3">
        <v>6.2359766920062922</v>
      </c>
      <c r="D40" s="3">
        <v>5.4654222136612685</v>
      </c>
      <c r="E40" s="3">
        <v>-1.4139132692700016</v>
      </c>
    </row>
    <row r="41" spans="1:16" x14ac:dyDescent="0.25">
      <c r="A41" s="3">
        <v>4.8782046275851849</v>
      </c>
      <c r="B41" s="3">
        <v>19.569056674804987</v>
      </c>
      <c r="C41" s="3">
        <v>11.627164726047642</v>
      </c>
      <c r="D41" s="3">
        <v>12.644269783717244</v>
      </c>
      <c r="E41" s="3">
        <v>6.1333060193817461</v>
      </c>
    </row>
    <row r="42" spans="1:16" x14ac:dyDescent="0.25">
      <c r="A42" s="3">
        <v>-2.6346786531457709</v>
      </c>
      <c r="B42" s="3">
        <v>-4.0023336142313441</v>
      </c>
      <c r="C42" s="3">
        <v>-1.5280998824538579</v>
      </c>
      <c r="D42" s="3">
        <v>0.24836663927510658</v>
      </c>
      <c r="E42" s="3">
        <v>0.92647849541783267</v>
      </c>
    </row>
    <row r="43" spans="1:16" x14ac:dyDescent="0.25">
      <c r="A43" s="3">
        <v>5.976500034763264</v>
      </c>
      <c r="B43" s="3">
        <v>8.2805189794048157</v>
      </c>
      <c r="C43" s="3">
        <v>0.54379776601998675</v>
      </c>
      <c r="D43" s="3">
        <v>2.4306461751094308</v>
      </c>
      <c r="E43" s="3">
        <v>5.1995090089826395</v>
      </c>
    </row>
    <row r="44" spans="1:16" x14ac:dyDescent="0.25">
      <c r="A44" s="3">
        <v>-2.2450238148347559</v>
      </c>
      <c r="B44" s="3">
        <v>-5.5180892480111199</v>
      </c>
      <c r="C44" s="3">
        <v>2.0611021780441479</v>
      </c>
      <c r="D44" s="3">
        <v>1.1987748488747092</v>
      </c>
      <c r="E44" s="3">
        <v>0.91916368162619466</v>
      </c>
    </row>
    <row r="45" spans="1:16" x14ac:dyDescent="0.25">
      <c r="A45" s="3">
        <v>0.43958551448283351</v>
      </c>
      <c r="B45" s="3">
        <v>2.7570600160294112</v>
      </c>
      <c r="C45" s="3">
        <v>1.3180233492395164</v>
      </c>
      <c r="D45" s="3">
        <v>-0.30212765957445936</v>
      </c>
      <c r="E45" s="3">
        <v>3.0033159814128472</v>
      </c>
    </row>
    <row r="46" spans="1:16" x14ac:dyDescent="0.25">
      <c r="A46" s="3">
        <v>4.0057731242357661</v>
      </c>
      <c r="B46" s="3">
        <v>11.556813698051915</v>
      </c>
      <c r="C46" s="3">
        <v>-1.1081421207785263</v>
      </c>
      <c r="D46" s="3">
        <v>-1.5495397441916854</v>
      </c>
      <c r="E46" s="3">
        <v>-1.2000977923554259</v>
      </c>
    </row>
    <row r="47" spans="1:16" x14ac:dyDescent="0.25">
      <c r="A47" s="3">
        <v>4.6860344096521844</v>
      </c>
      <c r="B47" s="3">
        <v>2.6313300184661941</v>
      </c>
      <c r="C47" s="3">
        <v>2.1710404747211589</v>
      </c>
      <c r="D47" s="3">
        <v>6.3612863834330238</v>
      </c>
      <c r="E47" s="3">
        <v>0.39718520498659238</v>
      </c>
    </row>
    <row r="48" spans="1:16" x14ac:dyDescent="0.25">
      <c r="A48" s="3">
        <v>6.1510420502246088</v>
      </c>
      <c r="B48" s="3">
        <v>0.38349796629867244</v>
      </c>
      <c r="C48" s="3">
        <v>-0.52789986623350726</v>
      </c>
      <c r="D48" s="3">
        <v>1.4380143954293296</v>
      </c>
      <c r="E48" s="3">
        <v>7.5042502856011994</v>
      </c>
    </row>
    <row r="49" spans="1:5" x14ac:dyDescent="0.25">
      <c r="A49" s="3">
        <v>-2.6137329378913314</v>
      </c>
      <c r="B49" s="3">
        <v>-2.2031760225467281</v>
      </c>
      <c r="C49" s="3">
        <v>-5.1732241055776962</v>
      </c>
      <c r="D49" s="3">
        <v>5.2104174863753956</v>
      </c>
      <c r="E49" s="3">
        <v>5.171054811507517</v>
      </c>
    </row>
    <row r="50" spans="1:5" x14ac:dyDescent="0.25">
      <c r="A50" s="3">
        <v>0.5497180172158006</v>
      </c>
      <c r="B50" s="3">
        <v>-0.45186808880616181</v>
      </c>
      <c r="C50" s="3">
        <v>1.871782534612072</v>
      </c>
      <c r="D50" s="3">
        <v>7.2894801753702012</v>
      </c>
      <c r="E50" s="3">
        <v>13.31881099263752</v>
      </c>
    </row>
    <row r="51" spans="1:5" x14ac:dyDescent="0.25">
      <c r="A51" s="3">
        <v>3.6292036652182071</v>
      </c>
      <c r="B51" s="3">
        <v>1.3441257032262262</v>
      </c>
      <c r="C51" s="3">
        <v>1.0603881460963405</v>
      </c>
      <c r="D51" s="3">
        <v>2.697900149957499</v>
      </c>
      <c r="E51" s="3">
        <v>-0.88631768141989131</v>
      </c>
    </row>
    <row r="52" spans="1:5" x14ac:dyDescent="0.25">
      <c r="A52" s="3">
        <v>-4.6512422873355561</v>
      </c>
      <c r="B52" s="3">
        <v>0.1881418063231845</v>
      </c>
      <c r="C52" s="3">
        <v>-3.5501315969794214</v>
      </c>
      <c r="D52" s="3">
        <v>-7.1472312891764629</v>
      </c>
      <c r="E52" s="3">
        <v>-8.0225487640398576</v>
      </c>
    </row>
    <row r="53" spans="1:5" x14ac:dyDescent="0.25">
      <c r="A53" s="3">
        <v>-0.77617576586858583</v>
      </c>
      <c r="B53" s="3">
        <v>-6.3969243071008295</v>
      </c>
      <c r="C53" s="3">
        <v>-0.75233716363424297</v>
      </c>
      <c r="D53" s="3">
        <v>-2.5092783569297503</v>
      </c>
      <c r="E53" s="3">
        <v>-4.1289483858347218</v>
      </c>
    </row>
    <row r="54" spans="1:5" x14ac:dyDescent="0.25">
      <c r="A54" s="3">
        <v>6.3513188004335763</v>
      </c>
      <c r="B54" s="3">
        <v>16.48510003063263</v>
      </c>
      <c r="C54" s="3">
        <v>11.079500611204317</v>
      </c>
      <c r="D54" s="3">
        <v>13.77843583369763</v>
      </c>
      <c r="E54" s="3">
        <v>8.810680976518892</v>
      </c>
    </row>
    <row r="55" spans="1:5" x14ac:dyDescent="0.25">
      <c r="A55" s="3">
        <v>1.0871596256094129</v>
      </c>
      <c r="B55" s="3">
        <v>1.6597033942249266</v>
      </c>
      <c r="C55" s="3">
        <v>0.52875956311239969</v>
      </c>
      <c r="D55" s="3">
        <v>1.8493381198115308</v>
      </c>
      <c r="E55" s="3">
        <v>4.9595868019974692</v>
      </c>
    </row>
    <row r="56" spans="1:5" x14ac:dyDescent="0.25">
      <c r="A56" s="3">
        <v>0.46435553165626448</v>
      </c>
      <c r="B56" s="3">
        <v>-0.29620831496452721</v>
      </c>
      <c r="C56" s="3">
        <v>-0.9579381646641093</v>
      </c>
      <c r="D56" s="3">
        <v>3.37418836086069</v>
      </c>
      <c r="E56" s="3">
        <v>1.2988803434795111</v>
      </c>
    </row>
    <row r="57" spans="1:5" x14ac:dyDescent="0.25">
      <c r="A57" s="3">
        <v>2.0818929949374478</v>
      </c>
      <c r="B57" s="3">
        <v>1.3937205835063078</v>
      </c>
      <c r="C57" s="3">
        <v>2.5358386356922562</v>
      </c>
      <c r="D57" s="3">
        <v>4.8954802448006456</v>
      </c>
      <c r="E57" s="3">
        <v>5.4301212649775854</v>
      </c>
    </row>
    <row r="58" spans="1:5" x14ac:dyDescent="0.25">
      <c r="A58" s="3">
        <v>6.7447703315309342</v>
      </c>
      <c r="B58" s="3">
        <v>10.971636573323234</v>
      </c>
      <c r="C58" s="3">
        <v>9.3434891121031054</v>
      </c>
      <c r="D58" s="3">
        <v>3.5387285717732122</v>
      </c>
      <c r="E58" s="3">
        <v>6.0836932625725009</v>
      </c>
    </row>
    <row r="59" spans="1:5" x14ac:dyDescent="0.25">
      <c r="A59" s="3">
        <v>6.1911900900029848E-2</v>
      </c>
      <c r="B59" s="3">
        <v>1.1249930986999568</v>
      </c>
      <c r="C59" s="3">
        <v>0.28420444957590757</v>
      </c>
      <c r="D59" s="3">
        <v>2.0814504053634728</v>
      </c>
      <c r="E59" s="3">
        <v>2.5695245497992776</v>
      </c>
    </row>
    <row r="60" spans="1:5" x14ac:dyDescent="0.25">
      <c r="A60" s="3">
        <v>3.7400286357128212</v>
      </c>
      <c r="B60" s="3">
        <v>4.7283518050466196</v>
      </c>
      <c r="C60" s="3">
        <v>-0.20753073846107678</v>
      </c>
      <c r="D60" s="3">
        <v>1.4081935190902581</v>
      </c>
      <c r="E60" s="3">
        <v>-3.3335472007379678</v>
      </c>
    </row>
    <row r="61" spans="1:5" x14ac:dyDescent="0.25">
      <c r="A61" s="3">
        <v>10.159014955095287</v>
      </c>
      <c r="B61" s="3">
        <v>17.611162220177842</v>
      </c>
      <c r="C61" s="3">
        <v>7.7789150460593621</v>
      </c>
      <c r="D61" s="3">
        <v>-3.4050200441634928</v>
      </c>
      <c r="E61" s="3">
        <v>6.7992035265240709</v>
      </c>
    </row>
    <row r="62" spans="1:5" x14ac:dyDescent="0.25">
      <c r="A62" s="3">
        <v>1.8985699199942703</v>
      </c>
      <c r="B62" s="3">
        <v>-6.7866920449508354</v>
      </c>
      <c r="C62" s="3">
        <v>-0.28599816653767379</v>
      </c>
      <c r="D62" s="3">
        <v>3.225683811364584</v>
      </c>
      <c r="E62" s="3">
        <v>-4.3614485238850653</v>
      </c>
    </row>
    <row r="63" spans="1:5" x14ac:dyDescent="0.25">
      <c r="A63" s="3">
        <v>5.4117430080754643</v>
      </c>
      <c r="B63" s="3">
        <v>10.138153459710592</v>
      </c>
      <c r="C63" s="3">
        <v>-0.89403681846207794</v>
      </c>
      <c r="D63" s="3">
        <v>7.3805832278913321</v>
      </c>
      <c r="E63" s="3">
        <v>2.7152416940283266</v>
      </c>
    </row>
    <row r="64" spans="1:5" x14ac:dyDescent="0.25">
      <c r="A64" s="3">
        <v>-4.4436390600330764</v>
      </c>
      <c r="B64" s="3">
        <v>5.0685088064610326</v>
      </c>
      <c r="C64" s="3">
        <v>-3.1498577967382149</v>
      </c>
      <c r="D64" s="3">
        <v>-4.0270320208626353</v>
      </c>
      <c r="E64" s="3">
        <v>0.94250886884611385</v>
      </c>
    </row>
    <row r="65" spans="1:5" x14ac:dyDescent="0.25">
      <c r="A65" s="3">
        <v>20.490967111917126</v>
      </c>
      <c r="B65" s="3">
        <v>10.97722515240439</v>
      </c>
      <c r="C65" s="3">
        <v>11.831709716180054</v>
      </c>
      <c r="D65" s="3">
        <v>13.04708215166818</v>
      </c>
      <c r="E65" s="3">
        <v>-2.2188586429534207</v>
      </c>
    </row>
    <row r="66" spans="1:5" x14ac:dyDescent="0.25">
      <c r="A66" s="3">
        <v>9.6903978841262486</v>
      </c>
      <c r="B66" s="3">
        <v>12.591180858826217</v>
      </c>
      <c r="C66" s="3">
        <v>5.1645660507994418</v>
      </c>
      <c r="D66" s="3">
        <v>-1.2049851467428414</v>
      </c>
      <c r="E66" s="3">
        <v>5.2308875602252165</v>
      </c>
    </row>
    <row r="67" spans="1:5" x14ac:dyDescent="0.25">
      <c r="A67" s="3">
        <v>-7.1217468746907695</v>
      </c>
      <c r="B67" s="3">
        <v>-0.38400303333378738</v>
      </c>
      <c r="C67" s="3">
        <v>8.2642250155447989</v>
      </c>
      <c r="D67" s="3">
        <v>10.629794059933301</v>
      </c>
      <c r="E67" s="3">
        <v>3.2103660288456086</v>
      </c>
    </row>
    <row r="68" spans="1:5" x14ac:dyDescent="0.25">
      <c r="A68" s="3">
        <v>8.0833442834870386</v>
      </c>
      <c r="B68" s="3">
        <v>10.396591434308608</v>
      </c>
      <c r="C68" s="3">
        <v>5.5865242332718408</v>
      </c>
      <c r="D68" s="3">
        <v>8.367109677949081</v>
      </c>
      <c r="E68" s="3">
        <v>20.049327179498594</v>
      </c>
    </row>
    <row r="69" spans="1:5" x14ac:dyDescent="0.25">
      <c r="A69" s="3">
        <v>0.45771176973123123</v>
      </c>
      <c r="B69" s="3">
        <v>10.132213610472936</v>
      </c>
      <c r="C69" s="3">
        <v>-1.3865158137461311</v>
      </c>
      <c r="D69" s="3">
        <v>0.44272970154921409</v>
      </c>
      <c r="E69" s="3">
        <v>-2.0995320666515145</v>
      </c>
    </row>
    <row r="70" spans="1:5" x14ac:dyDescent="0.25">
      <c r="A70" s="3">
        <v>-0.70486339387634722</v>
      </c>
      <c r="B70" s="3">
        <v>-9.8327191876985509</v>
      </c>
      <c r="C70" s="3">
        <v>4.9277418824532084</v>
      </c>
      <c r="D70" s="3">
        <v>-3.3928438254614286</v>
      </c>
      <c r="E70" s="3">
        <v>3.2606069678231013</v>
      </c>
    </row>
    <row r="71" spans="1:5" x14ac:dyDescent="0.25">
      <c r="A71" s="3">
        <v>-1.7432093234687724</v>
      </c>
      <c r="B71" s="3">
        <v>-0.82549028986045814</v>
      </c>
      <c r="C71" s="3">
        <v>1.3063770661455154</v>
      </c>
      <c r="D71" s="3">
        <v>3.6729598143023074</v>
      </c>
      <c r="E71" s="3">
        <v>3.6435534555129934</v>
      </c>
    </row>
    <row r="72" spans="1:5" x14ac:dyDescent="0.25">
      <c r="A72" s="3">
        <v>2.0319424981393626</v>
      </c>
      <c r="B72" s="3">
        <v>8.417745372445971</v>
      </c>
      <c r="C72" s="3">
        <v>1.6653812734143421</v>
      </c>
      <c r="D72" s="3">
        <v>0.15063502075938803</v>
      </c>
      <c r="E72" s="3">
        <v>16.341444198446066</v>
      </c>
    </row>
    <row r="73" spans="1:5" x14ac:dyDescent="0.25">
      <c r="A73" s="3">
        <v>-3.9001534432736151</v>
      </c>
      <c r="B73" s="3">
        <v>-7.6444034399815441</v>
      </c>
      <c r="C73" s="3">
        <v>-8.5007495951785774</v>
      </c>
      <c r="D73" s="3">
        <v>-5.8526834662653409</v>
      </c>
      <c r="E73" s="3">
        <v>2.4697238547718867</v>
      </c>
    </row>
    <row r="74" spans="1:5" x14ac:dyDescent="0.25">
      <c r="A74" s="3">
        <v>9.0246412538421747</v>
      </c>
      <c r="B74" s="3">
        <v>6.8561133112133801</v>
      </c>
      <c r="C74" s="3">
        <v>8.1595509403171533</v>
      </c>
      <c r="D74" s="3">
        <v>6.6088328362056608</v>
      </c>
      <c r="E74" s="3">
        <v>-3.0274880559354953</v>
      </c>
    </row>
    <row r="75" spans="1:5" x14ac:dyDescent="0.25">
      <c r="A75" s="3">
        <v>0.34998369251611472</v>
      </c>
      <c r="B75" s="3">
        <v>-1.6841008724336934</v>
      </c>
      <c r="C75" s="3">
        <v>-2.5194515738229435</v>
      </c>
      <c r="D75" s="3">
        <v>2.5540904017049466</v>
      </c>
      <c r="E75" s="3">
        <v>5.9290631989788132</v>
      </c>
    </row>
    <row r="76" spans="1:5" x14ac:dyDescent="0.25">
      <c r="A76" s="3">
        <v>-7.1283923147118022</v>
      </c>
      <c r="B76" s="3">
        <v>-21.413386401687141</v>
      </c>
      <c r="C76" s="3">
        <v>17.348789151327029</v>
      </c>
      <c r="D76" s="3">
        <v>19.128144754604929</v>
      </c>
      <c r="E76" s="3">
        <v>13.339410359763814</v>
      </c>
    </row>
    <row r="77" spans="1:5" x14ac:dyDescent="0.25">
      <c r="A77" s="3">
        <v>1.6717253632503137</v>
      </c>
      <c r="B77" s="3">
        <v>3.249232417996748</v>
      </c>
      <c r="C77" s="3">
        <v>2.6959315267338968</v>
      </c>
      <c r="D77" s="3">
        <v>1.1398340462958716</v>
      </c>
      <c r="E77" s="3">
        <v>5.8582815171795266</v>
      </c>
    </row>
    <row r="78" spans="1:5" x14ac:dyDescent="0.25">
      <c r="A78" s="3">
        <v>-4.0490358965533337</v>
      </c>
      <c r="B78" s="3">
        <v>-2.1749275407812054</v>
      </c>
      <c r="C78" s="3">
        <v>-0.34398398184701962</v>
      </c>
      <c r="D78" s="3">
        <v>11.062469809738472</v>
      </c>
      <c r="E78" s="3">
        <v>13.718463320025984</v>
      </c>
    </row>
    <row r="79" spans="1:5" x14ac:dyDescent="0.25">
      <c r="A79" s="3">
        <v>5.6648224288749702</v>
      </c>
      <c r="B79" s="3">
        <v>7.0315875942857406</v>
      </c>
      <c r="C79" s="3">
        <v>5.1782607719191649</v>
      </c>
      <c r="D79" s="3">
        <v>4.3375752984483391</v>
      </c>
      <c r="E79" s="3">
        <v>-5.50210233630599</v>
      </c>
    </row>
    <row r="80" spans="1:5" x14ac:dyDescent="0.25">
      <c r="A80" s="3">
        <v>8.4874402206734469</v>
      </c>
      <c r="B80" s="3">
        <v>5.8946859285434572</v>
      </c>
      <c r="C80" s="3">
        <v>4.7543021958979548</v>
      </c>
      <c r="D80" s="3">
        <v>3.4189350548028692</v>
      </c>
      <c r="E80" s="3">
        <v>-1.5232319789008089</v>
      </c>
    </row>
    <row r="81" spans="1:5" x14ac:dyDescent="0.25">
      <c r="A81" s="3">
        <v>-8.9066754931016082E-2</v>
      </c>
      <c r="B81" s="3">
        <v>-0.85764167413768366</v>
      </c>
      <c r="C81" s="3">
        <v>3.9404981795716854</v>
      </c>
      <c r="D81" s="3">
        <v>-4.4887787718086738</v>
      </c>
      <c r="E81" s="3">
        <v>6.5781412974661917</v>
      </c>
    </row>
    <row r="82" spans="1:5" x14ac:dyDescent="0.25">
      <c r="A82" s="3">
        <v>4.2154686648255213</v>
      </c>
      <c r="B82" s="3">
        <v>-3.0878710632975541</v>
      </c>
      <c r="C82" s="3">
        <v>-2.1320182895278781</v>
      </c>
      <c r="D82" s="3">
        <v>5.6475499249890992</v>
      </c>
      <c r="E82" s="3">
        <v>-0.57378761257663735</v>
      </c>
    </row>
    <row r="83" spans="1:5" x14ac:dyDescent="0.25">
      <c r="A83" s="3">
        <v>-23.227352067414948</v>
      </c>
      <c r="B83" s="3">
        <v>-25.425243733069319</v>
      </c>
      <c r="C83" s="3">
        <v>-21.222794253653124</v>
      </c>
      <c r="D83" s="3">
        <v>-25.930493024400782</v>
      </c>
      <c r="E83" s="3">
        <v>-12.584689711939468</v>
      </c>
    </row>
    <row r="84" spans="1:5" x14ac:dyDescent="0.25">
      <c r="A84" s="3">
        <v>-11.082545048012319</v>
      </c>
      <c r="B84" s="3">
        <v>-17.139801544131021</v>
      </c>
      <c r="C84" s="3">
        <v>-8.4527711196986726</v>
      </c>
      <c r="D84" s="3">
        <v>-10.117259864230281</v>
      </c>
      <c r="E84" s="3">
        <v>-0.5840886698599016</v>
      </c>
    </row>
    <row r="85" spans="1:5" x14ac:dyDescent="0.25">
      <c r="A85" s="3">
        <v>-2.3279245107294484</v>
      </c>
      <c r="B85" s="3">
        <v>-8.0155644497286715</v>
      </c>
      <c r="C85" s="3">
        <v>11.626609671386595</v>
      </c>
      <c r="D85" s="3">
        <v>15.50868369540007</v>
      </c>
      <c r="E85" s="3">
        <v>3.1342659798352441</v>
      </c>
    </row>
    <row r="86" spans="1:5" x14ac:dyDescent="0.25">
      <c r="A86" s="3">
        <v>8.1323682385575609</v>
      </c>
      <c r="B86" s="3">
        <v>20.693349553653213</v>
      </c>
      <c r="C86" s="3">
        <v>4.1868907640257031</v>
      </c>
      <c r="D86" s="3">
        <v>-0.84444026192765831</v>
      </c>
      <c r="E86" s="3">
        <v>8.1077970377155317</v>
      </c>
    </row>
    <row r="87" spans="1:5" x14ac:dyDescent="0.25">
      <c r="A87" s="3">
        <v>-1.940412773615841</v>
      </c>
      <c r="B87" s="3">
        <v>-2.702269310616368</v>
      </c>
      <c r="C87" s="3">
        <v>-2.4580071305178817</v>
      </c>
      <c r="D87" s="3">
        <v>1.5790610378459091</v>
      </c>
      <c r="E87" s="3">
        <v>5.7075318948843998</v>
      </c>
    </row>
    <row r="88" spans="1:5" x14ac:dyDescent="0.25">
      <c r="A88" s="3">
        <v>4.2511097849107435E-2</v>
      </c>
      <c r="B88" s="3">
        <v>0.33462041037352713</v>
      </c>
      <c r="C88" s="3">
        <v>0.86026772677174101</v>
      </c>
      <c r="D88" s="3">
        <v>-0.83721594065037319</v>
      </c>
      <c r="E88" s="3">
        <v>-4.3564288917856322</v>
      </c>
    </row>
    <row r="89" spans="1:5" x14ac:dyDescent="0.25">
      <c r="A89" s="3">
        <v>7.3390372059196132</v>
      </c>
      <c r="B89" s="3">
        <v>9.7373322578279691</v>
      </c>
      <c r="C89" s="3">
        <v>4.3313389286254695</v>
      </c>
      <c r="D89" s="3">
        <v>5.093231109136009</v>
      </c>
      <c r="E89" s="3">
        <v>6.7352929239524277</v>
      </c>
    </row>
    <row r="90" spans="1:5" x14ac:dyDescent="0.25">
      <c r="A90" s="3">
        <v>-0.36808928544240804</v>
      </c>
      <c r="B90" s="3">
        <v>-0.92456471418414388</v>
      </c>
      <c r="C90" s="3">
        <v>-3.3542338832410126</v>
      </c>
      <c r="D90" s="3">
        <v>-4.9877941855424979</v>
      </c>
      <c r="E90" s="3">
        <v>-4.8133945083296883</v>
      </c>
    </row>
    <row r="91" spans="1:5" x14ac:dyDescent="0.25">
      <c r="A91" s="3">
        <v>3.7796906101833603</v>
      </c>
      <c r="B91" s="3">
        <v>8.475083836260966</v>
      </c>
      <c r="C91" s="3">
        <v>4.2731907577846018</v>
      </c>
      <c r="D91" s="3">
        <v>4.4459998038463917</v>
      </c>
      <c r="E91" s="3">
        <v>2.8167759551336888</v>
      </c>
    </row>
    <row r="92" spans="1:5" x14ac:dyDescent="0.25">
      <c r="A92" s="3">
        <v>3.885375173947287</v>
      </c>
      <c r="B92" s="3">
        <v>4.2442119295557807</v>
      </c>
      <c r="C92" s="3">
        <v>3.0652927067602453</v>
      </c>
      <c r="D92" s="3">
        <v>2.4536145838224046</v>
      </c>
      <c r="E92" s="3">
        <v>0.77600944232328051</v>
      </c>
    </row>
    <row r="93" spans="1:5" x14ac:dyDescent="0.25">
      <c r="A93" s="3">
        <v>-0.69598990743759437</v>
      </c>
      <c r="B93" s="3">
        <v>-3.1354529014033421</v>
      </c>
      <c r="C93" s="3">
        <v>-1.5412780144215821</v>
      </c>
      <c r="D93" s="3">
        <v>-2.7367479671409694</v>
      </c>
      <c r="E93" s="3">
        <v>6.2411821218758465</v>
      </c>
    </row>
    <row r="94" spans="1:5" x14ac:dyDescent="0.25">
      <c r="A94" s="3">
        <v>3.041852232499715</v>
      </c>
      <c r="B94" s="3">
        <v>4.5963054187192123</v>
      </c>
      <c r="C94" s="3">
        <v>1.6380641569292063</v>
      </c>
      <c r="D94" s="3">
        <v>0.33759328611263306</v>
      </c>
      <c r="E94" s="3">
        <v>3.0526351407348717</v>
      </c>
    </row>
    <row r="95" spans="1:5" x14ac:dyDescent="0.25">
      <c r="A95" s="3">
        <v>2.4640863313338999</v>
      </c>
      <c r="B95" s="3">
        <v>-4.4727441417978033</v>
      </c>
      <c r="C95" s="3">
        <v>4.3822930555124806</v>
      </c>
      <c r="D95" s="3">
        <v>12.352092844890214</v>
      </c>
      <c r="E95" s="3">
        <v>3.5595625471700649</v>
      </c>
    </row>
    <row r="96" spans="1:5" x14ac:dyDescent="0.25">
      <c r="A96" s="3">
        <v>10.196949263679468</v>
      </c>
      <c r="B96" s="3">
        <v>5.90706170331823</v>
      </c>
      <c r="C96" s="3">
        <v>7.8097821961258154</v>
      </c>
      <c r="D96" s="3">
        <v>5.7188759190926168</v>
      </c>
      <c r="E96" s="3">
        <v>1.157225306032432</v>
      </c>
    </row>
    <row r="97" spans="1:5" x14ac:dyDescent="0.25">
      <c r="A97" s="3">
        <v>-3.6379864553172667</v>
      </c>
      <c r="B97" s="3">
        <v>1.1416800502758258</v>
      </c>
      <c r="C97" s="3">
        <v>3.8606604804663229</v>
      </c>
      <c r="D97" s="3">
        <v>2.6056516884619671E-2</v>
      </c>
      <c r="E97" s="3">
        <v>1.5892440529402732</v>
      </c>
    </row>
    <row r="98" spans="1:5" x14ac:dyDescent="0.25">
      <c r="A98" s="3">
        <v>11.402707442762066</v>
      </c>
      <c r="B98" s="3">
        <v>6.67334046739618</v>
      </c>
      <c r="C98" s="3">
        <v>-0.37199540753688642</v>
      </c>
      <c r="D98" s="3">
        <v>1.702574371976961</v>
      </c>
      <c r="E98" s="3">
        <v>-4.2252091521679809</v>
      </c>
    </row>
    <row r="99" spans="1:5" x14ac:dyDescent="0.25">
      <c r="A99" s="3">
        <v>8.5918370262432386</v>
      </c>
      <c r="B99" s="3">
        <v>9.073356158029739</v>
      </c>
      <c r="C99" s="3">
        <v>9.1681842187405262</v>
      </c>
      <c r="D99" s="3">
        <v>7.4208891877473757</v>
      </c>
      <c r="E99" s="3">
        <v>7.9206617249874771</v>
      </c>
    </row>
    <row r="100" spans="1:5" x14ac:dyDescent="0.25">
      <c r="A100" s="3">
        <v>0.94930880426031361</v>
      </c>
      <c r="B100" s="3">
        <v>4.9882217048958601</v>
      </c>
      <c r="C100" s="3">
        <v>1.2999455250598222</v>
      </c>
      <c r="D100" s="3">
        <v>-0.14405177970820904</v>
      </c>
      <c r="E100" s="3">
        <v>0.97764680384033897</v>
      </c>
    </row>
    <row r="101" spans="1:5" x14ac:dyDescent="0.25">
      <c r="A101" s="3">
        <v>-5.6279549826154538</v>
      </c>
      <c r="B101" s="3">
        <v>-6.7202827371701082</v>
      </c>
      <c r="C101" s="3">
        <v>-2.2632690653564236</v>
      </c>
      <c r="D101" s="3">
        <v>-7.2532710916520475</v>
      </c>
      <c r="E101" s="3">
        <v>-0.42820360128010776</v>
      </c>
    </row>
    <row r="102" spans="1:5" x14ac:dyDescent="0.25">
      <c r="A102" s="3">
        <v>4.0181616820545614</v>
      </c>
      <c r="B102" s="3">
        <v>19.553499118429372</v>
      </c>
      <c r="C102" s="3">
        <v>4.3737716047017106</v>
      </c>
      <c r="D102" s="3">
        <v>13.638106940059725</v>
      </c>
      <c r="E102" s="3">
        <v>5.8488280787806382</v>
      </c>
    </row>
    <row r="103" spans="1:5" x14ac:dyDescent="0.25">
      <c r="A103" s="3">
        <v>-3.2652736107054672</v>
      </c>
      <c r="B103" s="3">
        <v>1.433890356715692</v>
      </c>
      <c r="C103" s="3">
        <v>-5.0913735404886573</v>
      </c>
      <c r="D103" s="3">
        <v>-6.3406473615488252</v>
      </c>
      <c r="E103" s="3">
        <v>-12.791694036694265</v>
      </c>
    </row>
    <row r="104" spans="1:5" x14ac:dyDescent="0.25">
      <c r="A104" s="3">
        <v>-2.5954349329732116</v>
      </c>
      <c r="B104" s="3">
        <v>12.914443311949174</v>
      </c>
      <c r="C104" s="3">
        <v>2.3712345839355033</v>
      </c>
      <c r="D104" s="3">
        <v>-0.19674486783949949</v>
      </c>
      <c r="E104" s="3">
        <v>-14.477990810199579</v>
      </c>
    </row>
    <row r="105" spans="1:5" x14ac:dyDescent="0.25">
      <c r="A105" s="3">
        <v>-4.5274969285046058</v>
      </c>
      <c r="B105" s="3">
        <v>-8.6472031953368003</v>
      </c>
      <c r="C105" s="3">
        <v>-2.0320682394860343</v>
      </c>
      <c r="D105" s="3">
        <v>-6.1913491165802057</v>
      </c>
      <c r="E105" s="3">
        <v>1.8492943130834421</v>
      </c>
    </row>
    <row r="106" spans="1:5" x14ac:dyDescent="0.25">
      <c r="A106" s="3">
        <v>15.353488248541215</v>
      </c>
      <c r="B106" s="3">
        <v>6.83704656896382</v>
      </c>
      <c r="C106" s="3">
        <v>8.8526225298403052</v>
      </c>
      <c r="D106" s="3">
        <v>14.042784204436648</v>
      </c>
      <c r="E106" s="3">
        <v>4.055622534768097</v>
      </c>
    </row>
    <row r="107" spans="1:5" x14ac:dyDescent="0.25">
      <c r="A107" s="3">
        <v>-2.7779483557984657</v>
      </c>
      <c r="B107" s="3">
        <v>4.4211410790576489</v>
      </c>
      <c r="C107" s="3">
        <v>-0.14554714335255706</v>
      </c>
      <c r="D107" s="3">
        <v>-1.9226181981814923</v>
      </c>
      <c r="E107" s="3">
        <v>-4.8206557066804923</v>
      </c>
    </row>
    <row r="108" spans="1:5" x14ac:dyDescent="0.25">
      <c r="A108" s="3">
        <v>-24.325277455384743</v>
      </c>
      <c r="B108" s="3">
        <v>-31.605500736654115</v>
      </c>
      <c r="C108" s="3">
        <v>-13.347748716050752</v>
      </c>
      <c r="D108" s="3">
        <v>-14.347496153995253</v>
      </c>
      <c r="E108" s="3">
        <v>-28.768541416660675</v>
      </c>
    </row>
    <row r="109" spans="1:5" x14ac:dyDescent="0.25">
      <c r="A109" s="3">
        <v>5.3498271556850749</v>
      </c>
      <c r="B109" s="3">
        <v>11.932794447500953</v>
      </c>
      <c r="C109" s="3">
        <v>-0.2982467944686098</v>
      </c>
      <c r="D109" s="3">
        <v>4.1126091328764494</v>
      </c>
      <c r="E109" s="3">
        <v>16.792809767405164</v>
      </c>
    </row>
    <row r="110" spans="1:5" x14ac:dyDescent="0.25">
      <c r="A110" s="3">
        <v>-2.5134934389700527</v>
      </c>
      <c r="B110" s="3">
        <v>1.0860688278396597</v>
      </c>
      <c r="C110" s="3">
        <v>6.5772428453852045</v>
      </c>
      <c r="D110" s="3">
        <v>5.5128519671572755</v>
      </c>
      <c r="E110" s="3">
        <v>-9.5332886069060141</v>
      </c>
    </row>
    <row r="111" spans="1:5" x14ac:dyDescent="0.25">
      <c r="A111" s="3">
        <v>0.11919637263767091</v>
      </c>
      <c r="B111" s="3">
        <v>-5.3961254270950771</v>
      </c>
      <c r="C111" s="3">
        <v>2.7879221699898724</v>
      </c>
      <c r="D111" s="3">
        <v>-3.5386702726874483E-2</v>
      </c>
      <c r="E111" s="3">
        <v>6.7645217611045467</v>
      </c>
    </row>
    <row r="112" spans="1:5" x14ac:dyDescent="0.25">
      <c r="A112" s="3">
        <v>16.326019826626929</v>
      </c>
      <c r="B112" s="3">
        <v>10.216600146680022</v>
      </c>
      <c r="C112" s="3">
        <v>12.02772703653905</v>
      </c>
      <c r="D112" s="3">
        <v>12.864542901099529</v>
      </c>
      <c r="E112" s="3">
        <v>12.935037689033532</v>
      </c>
    </row>
    <row r="113" spans="1:5" x14ac:dyDescent="0.25">
      <c r="A113" s="3">
        <v>4.4880834348550547</v>
      </c>
      <c r="B113" s="3">
        <v>-3.6108296191338729</v>
      </c>
      <c r="C113" s="3">
        <v>2.4439343948740104</v>
      </c>
      <c r="D113" s="3">
        <v>3.7942358629072754</v>
      </c>
      <c r="E113" s="3">
        <v>-0.52246572862981744</v>
      </c>
    </row>
    <row r="114" spans="1:5" x14ac:dyDescent="0.25">
      <c r="A114" s="3">
        <v>1.5819394549891623</v>
      </c>
      <c r="B114" s="3">
        <v>6.1449946316892223</v>
      </c>
      <c r="C114" s="3">
        <v>0.39779967419868184</v>
      </c>
      <c r="D114" s="3">
        <v>1.0076942169272822</v>
      </c>
      <c r="E114" s="3">
        <v>-0.218403470035504</v>
      </c>
    </row>
    <row r="115" spans="1:5" x14ac:dyDescent="0.25">
      <c r="A115" s="3">
        <v>0.32433557775013255</v>
      </c>
      <c r="B115" s="3">
        <v>1.5617850875732098</v>
      </c>
      <c r="C115" s="3">
        <v>-0.60497016991468122</v>
      </c>
      <c r="D115" s="3">
        <v>-2.8180532520550146</v>
      </c>
      <c r="E115" s="3">
        <v>-6.9921516970665438</v>
      </c>
    </row>
    <row r="116" spans="1:5" x14ac:dyDescent="0.25">
      <c r="A116" s="3">
        <v>3.8537781442668519</v>
      </c>
      <c r="B116" s="3">
        <v>-2.1203218801890396</v>
      </c>
      <c r="C116" s="3">
        <v>4.6883185526118796</v>
      </c>
      <c r="D116" s="3">
        <v>7.6214342035622842</v>
      </c>
      <c r="E116" s="3">
        <v>3.0520881367519204</v>
      </c>
    </row>
    <row r="117" spans="1:5" x14ac:dyDescent="0.25">
      <c r="A117" s="3">
        <v>0.18430296146726319</v>
      </c>
      <c r="B117" s="3">
        <v>1.1286243832237839E-2</v>
      </c>
      <c r="C117" s="3">
        <v>2.4296825171653929</v>
      </c>
      <c r="D117" s="3">
        <v>2.6777201240502988</v>
      </c>
      <c r="E117" s="3">
        <v>-5.9983014877940573</v>
      </c>
    </row>
    <row r="118" spans="1:5" x14ac:dyDescent="0.25">
      <c r="A118" s="3">
        <v>-3.8873857442402993</v>
      </c>
      <c r="B118" s="3">
        <v>-3.6907142328159752</v>
      </c>
      <c r="C118" s="3">
        <v>-1.6921243210292605</v>
      </c>
      <c r="D118" s="3">
        <v>-0.3026156190713219</v>
      </c>
      <c r="E118" s="3">
        <v>5.5544385442576054</v>
      </c>
    </row>
    <row r="119" spans="1:5" x14ac:dyDescent="0.25">
      <c r="A119" s="3">
        <v>-1.9689274792485838</v>
      </c>
      <c r="B119" s="3">
        <v>-1.4650445353765715</v>
      </c>
      <c r="C119" s="3">
        <v>-2.3762723295499826</v>
      </c>
      <c r="D119" s="3">
        <v>-7.7048031127960712</v>
      </c>
      <c r="E119" s="3">
        <v>-5.0946953331319111</v>
      </c>
    </row>
    <row r="120" spans="1:5" x14ac:dyDescent="0.25">
      <c r="A120" s="3">
        <v>2.4652604664247177</v>
      </c>
      <c r="B120" s="3">
        <v>-0.27722396983980874</v>
      </c>
      <c r="C120" s="3">
        <v>11.425857371084696</v>
      </c>
      <c r="D120" s="3">
        <v>2.4901364599222271</v>
      </c>
      <c r="E120" s="3">
        <v>-0.89321376851807299</v>
      </c>
    </row>
    <row r="121" spans="1:5" x14ac:dyDescent="0.25">
      <c r="A121" s="3">
        <v>10.777155594215502</v>
      </c>
      <c r="B121" s="3">
        <v>11.279464729896167</v>
      </c>
      <c r="C121" s="3">
        <v>-0.5343503666010635</v>
      </c>
      <c r="D121" s="3">
        <v>3.9682330293953441</v>
      </c>
      <c r="E121" s="3">
        <v>-9.5476311979501549</v>
      </c>
    </row>
    <row r="122" spans="1:5" x14ac:dyDescent="0.25">
      <c r="A122" s="3">
        <v>-0.57002358125964148</v>
      </c>
      <c r="B122" s="3">
        <v>-1.8374584336562718</v>
      </c>
      <c r="C122" s="3">
        <v>-1.840699617588857</v>
      </c>
      <c r="D122" s="3">
        <v>-4.4807643246295239</v>
      </c>
      <c r="E122" s="3">
        <v>-8.1009829774899096</v>
      </c>
    </row>
    <row r="123" spans="1:5" x14ac:dyDescent="0.25">
      <c r="A123" s="3">
        <v>6.0949546401318848</v>
      </c>
      <c r="B123" s="3">
        <v>3.1422703764856834</v>
      </c>
      <c r="C123" s="3">
        <v>3.3530178518459666</v>
      </c>
      <c r="D123" s="3">
        <v>12.482014337295047</v>
      </c>
      <c r="E123" s="3">
        <v>-2.7404222363846134</v>
      </c>
    </row>
    <row r="124" spans="1:5" x14ac:dyDescent="0.25">
      <c r="A124" s="3">
        <v>-2.558496025829208</v>
      </c>
      <c r="B124" s="3">
        <v>-3.037774977426305</v>
      </c>
      <c r="C124" s="3">
        <v>-1.5236387853333722</v>
      </c>
      <c r="D124" s="3">
        <v>-7.4454216523459573</v>
      </c>
      <c r="E124" s="3">
        <v>-10.356662961795578</v>
      </c>
    </row>
    <row r="125" spans="1:5" x14ac:dyDescent="0.25">
      <c r="A125" s="3">
        <v>-2.6216155568605477</v>
      </c>
      <c r="B125" s="3">
        <v>-10.312851239176078</v>
      </c>
      <c r="C125" s="3">
        <v>4.1739954970024469</v>
      </c>
      <c r="D125" s="3">
        <v>-4.7627098022471577</v>
      </c>
      <c r="E125" s="3">
        <v>-0.18496277612564735</v>
      </c>
    </row>
    <row r="126" spans="1:5" x14ac:dyDescent="0.25">
      <c r="A126" s="3">
        <v>-2.7093547754461711</v>
      </c>
      <c r="B126" s="3">
        <v>-6.234465656621361</v>
      </c>
      <c r="C126" s="3">
        <v>-2.3941619645052459</v>
      </c>
      <c r="D126" s="3">
        <v>-3.5052816067452981</v>
      </c>
      <c r="E126" s="3">
        <v>13.895874796873075</v>
      </c>
    </row>
    <row r="127" spans="1:5" x14ac:dyDescent="0.25">
      <c r="A127" s="3">
        <v>6.1582188536238744</v>
      </c>
      <c r="B127" s="3">
        <v>-2.478365009217808</v>
      </c>
      <c r="C127" s="3">
        <v>1.0899930563405369</v>
      </c>
      <c r="D127" s="3">
        <v>9.7086420634601769</v>
      </c>
      <c r="E127" s="3">
        <v>-4.9180327868852398</v>
      </c>
    </row>
    <row r="128" spans="1:5" x14ac:dyDescent="0.25">
      <c r="A128" s="3">
        <v>1.5418648589630479</v>
      </c>
      <c r="B128" s="3">
        <v>3.453489363560549</v>
      </c>
      <c r="C128" s="3">
        <v>0.6133989329414401</v>
      </c>
      <c r="D128" s="3">
        <v>4.5328280887998798</v>
      </c>
      <c r="E128" s="3">
        <v>-1.8827531423445363</v>
      </c>
    </row>
    <row r="129" spans="1:5" x14ac:dyDescent="0.25">
      <c r="A129" s="3">
        <v>0.7776925881945933</v>
      </c>
      <c r="B129" s="3">
        <v>4.2522610176237681</v>
      </c>
      <c r="C129" s="3">
        <v>3.3269297939224605</v>
      </c>
      <c r="D129" s="3">
        <v>4.9915773671576078</v>
      </c>
      <c r="E129" s="3">
        <v>3.7027989750846451</v>
      </c>
    </row>
    <row r="130" spans="1:5" x14ac:dyDescent="0.25">
      <c r="A130" s="3">
        <v>9.0471341657176101</v>
      </c>
      <c r="B130" s="3">
        <v>2.5612893024762569</v>
      </c>
      <c r="C130" s="3">
        <v>1.9986478492351796</v>
      </c>
      <c r="D130" s="3">
        <v>3.1224390119352816</v>
      </c>
      <c r="E130" s="3">
        <v>-1.7342708406944158</v>
      </c>
    </row>
    <row r="131" spans="1:5" x14ac:dyDescent="0.25">
      <c r="A131" s="3">
        <v>1.5133918695866746</v>
      </c>
      <c r="B131" s="3">
        <v>8.2487135473754893</v>
      </c>
      <c r="C131" s="3">
        <v>1.3179351407944186</v>
      </c>
      <c r="D131" s="3">
        <v>2.4372994026156358</v>
      </c>
      <c r="E131" s="3">
        <v>-1.2499261601840224</v>
      </c>
    </row>
    <row r="132" spans="1:5" x14ac:dyDescent="0.25">
      <c r="A132" s="3">
        <v>4.440430716750714</v>
      </c>
      <c r="B132" s="3">
        <v>-0.63289930058027444</v>
      </c>
      <c r="C132" s="3">
        <v>2.0624208959273793</v>
      </c>
      <c r="D132" s="3">
        <v>1.2884412589689034</v>
      </c>
      <c r="E132" s="3">
        <v>11.089158009448029</v>
      </c>
    </row>
    <row r="133" spans="1:5" x14ac:dyDescent="0.25">
      <c r="A133" s="3">
        <v>-1.7813471149158406</v>
      </c>
      <c r="B133" s="3">
        <v>-2.1055060223485063</v>
      </c>
      <c r="C133" s="3">
        <v>-2.2028429183799045</v>
      </c>
      <c r="D133" s="3">
        <v>-1.3260512708007373</v>
      </c>
      <c r="E133" s="3">
        <v>13.711009779308059</v>
      </c>
    </row>
    <row r="134" spans="1:5" x14ac:dyDescent="0.25">
      <c r="A134" s="3">
        <v>7.1336944709986918</v>
      </c>
      <c r="B134" s="3">
        <v>1.4246357171297388</v>
      </c>
      <c r="C134" s="3">
        <v>2.561180656801791</v>
      </c>
      <c r="D134" s="3">
        <v>1.302642418493192</v>
      </c>
      <c r="E134" s="3">
        <v>-0.76550938905432742</v>
      </c>
    </row>
    <row r="135" spans="1:5" x14ac:dyDescent="0.25">
      <c r="A135" s="3">
        <v>5.1560760208050525</v>
      </c>
      <c r="B135" s="3">
        <v>-5.5628710047677138E-2</v>
      </c>
      <c r="C135" s="3">
        <v>0.31453563103199622</v>
      </c>
      <c r="D135" s="3">
        <v>2.4171886575375394</v>
      </c>
      <c r="E135" s="3">
        <v>-2.740340891407866</v>
      </c>
    </row>
    <row r="136" spans="1:5" x14ac:dyDescent="0.25">
      <c r="A136" s="3">
        <v>1.598278247278927</v>
      </c>
      <c r="B136" s="3">
        <v>5.7916003212760812</v>
      </c>
      <c r="C136" s="3">
        <v>-0.10397352611417607</v>
      </c>
      <c r="D136" s="3">
        <v>1.6631170144573777</v>
      </c>
      <c r="E136" s="3">
        <v>5.2903664388334812</v>
      </c>
    </row>
    <row r="137" spans="1:5" x14ac:dyDescent="0.25">
      <c r="A137" s="3">
        <v>3.7972966702715856</v>
      </c>
      <c r="B137" s="3">
        <v>6.7462292942091233</v>
      </c>
      <c r="C137" s="3">
        <v>3.6157762197220804</v>
      </c>
      <c r="D137" s="3">
        <v>6.2433203827342192</v>
      </c>
      <c r="E137" s="3">
        <v>2.296834583876437</v>
      </c>
    </row>
    <row r="138" spans="1:5" x14ac:dyDescent="0.25">
      <c r="A138" s="3">
        <v>9.366704262547632</v>
      </c>
      <c r="B138" s="3">
        <v>9.1436138354420979</v>
      </c>
      <c r="C138" s="3">
        <v>0.76670489991747059</v>
      </c>
      <c r="D138" s="3">
        <v>2.9113638982105083</v>
      </c>
      <c r="E138" s="3">
        <v>-1.9011037836560298</v>
      </c>
    </row>
    <row r="139" spans="1:5" x14ac:dyDescent="0.25">
      <c r="A139" s="3">
        <v>1.3849958261476436</v>
      </c>
      <c r="B139" s="3">
        <v>-0.8670127858305513</v>
      </c>
      <c r="C139" s="3">
        <v>-0.66968817291992822</v>
      </c>
      <c r="D139" s="3">
        <v>0.46019216049836525</v>
      </c>
      <c r="E139" s="3">
        <v>-16.018003867008812</v>
      </c>
    </row>
    <row r="140" spans="1:5" x14ac:dyDescent="0.25">
      <c r="A140" s="3">
        <v>7.7591861227793464</v>
      </c>
      <c r="B140" s="3">
        <v>4.7717142478217998</v>
      </c>
      <c r="C140" s="3">
        <v>1.2180028596209269</v>
      </c>
      <c r="D140" s="3">
        <v>8.1177107107710391</v>
      </c>
      <c r="E140" s="3">
        <v>5.6181188901915267</v>
      </c>
    </row>
    <row r="141" spans="1:5" x14ac:dyDescent="0.25">
      <c r="A141" s="3">
        <v>-1.068705365686587</v>
      </c>
      <c r="B141" s="3">
        <v>-7.8777588666924414</v>
      </c>
      <c r="C141" s="3">
        <v>0.74081936261058667</v>
      </c>
      <c r="D141" s="3">
        <v>-1.1206956415592531</v>
      </c>
      <c r="E141" s="3">
        <v>13.371026836894414</v>
      </c>
    </row>
    <row r="142" spans="1:5" x14ac:dyDescent="0.25">
      <c r="A142" s="3">
        <v>-3.9111248156433498</v>
      </c>
      <c r="B142" s="3">
        <v>6.6699724287493778</v>
      </c>
      <c r="C142" s="3">
        <v>-2.9476537063670269</v>
      </c>
      <c r="D142" s="3">
        <v>-5.2268117858987528</v>
      </c>
      <c r="E142" s="3">
        <v>-2.726623563054924</v>
      </c>
    </row>
    <row r="143" spans="1:5" x14ac:dyDescent="0.25">
      <c r="A143" s="3">
        <v>-0.17967534315415723</v>
      </c>
      <c r="B143" s="3">
        <v>-6.2443642921550921</v>
      </c>
      <c r="C143" s="3">
        <v>1.6750733655479835</v>
      </c>
      <c r="D143" s="3">
        <v>-4.9431904277066891</v>
      </c>
      <c r="E143" s="3">
        <v>5.3933746913457119</v>
      </c>
    </row>
    <row r="144" spans="1:5" x14ac:dyDescent="0.25">
      <c r="A144" s="3">
        <v>-5.2874445180749454</v>
      </c>
      <c r="B144" s="3">
        <v>1.7637421800211686</v>
      </c>
      <c r="C144" s="3">
        <v>0.50121353745298503</v>
      </c>
      <c r="D144" s="3">
        <v>4.0362246442522096</v>
      </c>
      <c r="E144" s="3">
        <v>-3.1443736744220732</v>
      </c>
    </row>
    <row r="145" spans="1:5" x14ac:dyDescent="0.25">
      <c r="A145" s="3">
        <v>3.0282701523101063</v>
      </c>
      <c r="B145" s="3">
        <v>3.0097929437386379</v>
      </c>
      <c r="C145" s="3">
        <v>3.9532621970705937</v>
      </c>
      <c r="D145" s="3">
        <v>5.7296003365530357</v>
      </c>
      <c r="E145" s="3">
        <v>0.69285730172519933</v>
      </c>
    </row>
    <row r="146" spans="1:5" x14ac:dyDescent="0.25">
      <c r="A146" s="3">
        <v>-3.772212682305224</v>
      </c>
      <c r="B146" s="3">
        <v>-6.6239931160050043</v>
      </c>
      <c r="C146" s="3">
        <v>-2.0983791257182833</v>
      </c>
      <c r="D146" s="3">
        <v>-7.0643271880174314</v>
      </c>
      <c r="E146" s="3">
        <v>-3.6299415458326054</v>
      </c>
    </row>
    <row r="147" spans="1:5" x14ac:dyDescent="0.25">
      <c r="A147" s="3">
        <v>-1.3433006955513433</v>
      </c>
      <c r="B147" s="3">
        <v>1.4431901230197994</v>
      </c>
      <c r="C147" s="3">
        <v>2.3164866463604423</v>
      </c>
      <c r="D147" s="3">
        <v>2.344264548679571</v>
      </c>
      <c r="E147" s="3">
        <v>0.65740123353891744</v>
      </c>
    </row>
    <row r="148" spans="1:5" x14ac:dyDescent="0.25">
      <c r="A148" s="3">
        <v>3.4036500066295314</v>
      </c>
      <c r="B148" s="3">
        <v>-1.1423079584046532</v>
      </c>
      <c r="C148" s="3">
        <v>-3.3946091036075305</v>
      </c>
      <c r="D148" s="3">
        <v>-0.34231711094381922</v>
      </c>
      <c r="E148" s="3">
        <v>-3.0608773654884458</v>
      </c>
    </row>
    <row r="149" spans="1:5" x14ac:dyDescent="0.25">
      <c r="A149" s="3">
        <v>1.0041222360122528</v>
      </c>
      <c r="B149" s="3">
        <v>2.9853017023005104</v>
      </c>
      <c r="C149" s="3">
        <v>1.4895295892459841</v>
      </c>
      <c r="D149" s="3">
        <v>0.1598273180996081</v>
      </c>
      <c r="E149" s="3">
        <v>1.9986247798722423</v>
      </c>
    </row>
    <row r="150" spans="1:5" x14ac:dyDescent="0.25">
      <c r="A150" s="3">
        <v>-0.21456368654581118</v>
      </c>
      <c r="B150" s="3">
        <v>2.9868121121155244</v>
      </c>
      <c r="C150" s="3">
        <v>6.8580580045363453</v>
      </c>
      <c r="D150" s="3">
        <v>-1.9341150935558173</v>
      </c>
      <c r="E150" s="3">
        <v>-13.113771368595007</v>
      </c>
    </row>
    <row r="151" spans="1:5" x14ac:dyDescent="0.25">
      <c r="A151" s="3">
        <v>-0.1234548510217137</v>
      </c>
      <c r="B151" s="3">
        <v>-2.1608688230408633</v>
      </c>
      <c r="C151" s="3">
        <v>5.9523036655017849</v>
      </c>
      <c r="D151" s="3">
        <v>7.0877688352809471</v>
      </c>
      <c r="E151" s="3">
        <v>-0.45846248005068602</v>
      </c>
    </row>
    <row r="152" spans="1:5" x14ac:dyDescent="0.25">
      <c r="A152" s="3">
        <v>7.0810084858244648</v>
      </c>
      <c r="B152" s="3">
        <v>3.2529253162831022</v>
      </c>
      <c r="C152" s="3">
        <v>3.9287699812293013</v>
      </c>
      <c r="D152" s="3">
        <v>3.6612941887477533</v>
      </c>
      <c r="E152" s="3">
        <v>-5.4899328100906715</v>
      </c>
    </row>
    <row r="153" spans="1:5" x14ac:dyDescent="0.25">
      <c r="A153" s="3">
        <v>1.6269380286116648</v>
      </c>
      <c r="B153" s="3">
        <v>2.2622648207312768</v>
      </c>
      <c r="C153" s="3">
        <v>2.4833319312958482</v>
      </c>
      <c r="D153" s="3">
        <v>-3.4992913781209424E-2</v>
      </c>
      <c r="E153" s="3">
        <v>-4.4764510772356862</v>
      </c>
    </row>
    <row r="154" spans="1:5" x14ac:dyDescent="0.25">
      <c r="A154" s="3">
        <v>0.57313049773912705</v>
      </c>
      <c r="B154" s="3">
        <v>6.3511723425467457</v>
      </c>
      <c r="C154" s="3">
        <v>3.4195985328742227</v>
      </c>
      <c r="D154" s="3">
        <v>4.9855596012118299</v>
      </c>
      <c r="E154" s="3">
        <v>11.967881392819255</v>
      </c>
    </row>
    <row r="155" spans="1:5" x14ac:dyDescent="0.25">
      <c r="A155" s="3">
        <v>6.3278516570755272</v>
      </c>
      <c r="B155" s="3">
        <v>-1.75696741965892</v>
      </c>
      <c r="C155" s="3">
        <v>4.5396760359103885</v>
      </c>
      <c r="D155" s="3">
        <v>1.70408848215968</v>
      </c>
      <c r="E155" s="3">
        <v>8.4878459971454845</v>
      </c>
    </row>
    <row r="156" spans="1:5" x14ac:dyDescent="0.25">
      <c r="A156" s="3">
        <v>3.1148901207307023</v>
      </c>
      <c r="B156" s="3">
        <v>-1.7870598632494537</v>
      </c>
      <c r="C156" s="3">
        <v>-2.5113008538433998E-2</v>
      </c>
      <c r="D156" s="3">
        <v>0.1990672933877351</v>
      </c>
      <c r="E156" s="3">
        <v>-2.1394493954769667</v>
      </c>
    </row>
    <row r="157" spans="1:5" x14ac:dyDescent="0.25">
      <c r="A157" s="3">
        <v>6.6329071455905666</v>
      </c>
      <c r="B157" s="3">
        <v>4.8117907818212746</v>
      </c>
      <c r="C157" s="3">
        <v>6.0194840219725894</v>
      </c>
      <c r="D157" s="3">
        <v>4.9583134230260315</v>
      </c>
      <c r="E157" s="3">
        <v>12.352754977214483</v>
      </c>
    </row>
    <row r="158" spans="1:5" x14ac:dyDescent="0.25">
      <c r="A158" s="3">
        <v>2.3334185454295167</v>
      </c>
      <c r="B158" s="3">
        <v>6.492309360709962</v>
      </c>
      <c r="C158" s="3">
        <v>4.690379371440681</v>
      </c>
      <c r="D158" s="3">
        <v>2.0900395090826027</v>
      </c>
      <c r="E158" s="3">
        <v>-1.1540489753089143</v>
      </c>
    </row>
    <row r="159" spans="1:5" x14ac:dyDescent="0.25">
      <c r="A159" s="3">
        <v>8.0645703675769411</v>
      </c>
      <c r="B159" s="3">
        <v>-1.5067901938011719</v>
      </c>
      <c r="C159" s="3">
        <v>1.0344456543224072</v>
      </c>
      <c r="D159" s="3">
        <v>-0.26319807258192496</v>
      </c>
      <c r="E159" s="3">
        <v>5.1459691183629097</v>
      </c>
    </row>
    <row r="160" spans="1:5" x14ac:dyDescent="0.25">
      <c r="A160" s="3">
        <v>0.513008020751484</v>
      </c>
      <c r="B160" s="3">
        <v>-1.3869383102936017</v>
      </c>
      <c r="C160" s="3">
        <v>1.5004453931759498</v>
      </c>
      <c r="D160" s="3">
        <v>3.7109346625623374</v>
      </c>
      <c r="E160" s="3">
        <v>3.6735030275557738</v>
      </c>
    </row>
    <row r="161" spans="1:5" x14ac:dyDescent="0.25">
      <c r="A161" s="3">
        <v>2.1010452152625922</v>
      </c>
      <c r="B161" s="3">
        <v>2.9485664073372844</v>
      </c>
      <c r="C161" s="3">
        <v>3.3189249605100479</v>
      </c>
      <c r="D161" s="3">
        <v>-2.864503282637866</v>
      </c>
      <c r="E161" s="3">
        <v>-0.13427570615853524</v>
      </c>
    </row>
    <row r="162" spans="1:5" x14ac:dyDescent="0.25">
      <c r="A162" s="3">
        <v>-6.2581153096840092</v>
      </c>
      <c r="B162" s="3">
        <v>-2.5719211631538572</v>
      </c>
      <c r="C162" s="3">
        <v>-4.3786024038931268</v>
      </c>
      <c r="D162" s="3">
        <v>0.48120563389008597</v>
      </c>
      <c r="E162" s="3">
        <v>-7.0445247948018626</v>
      </c>
    </row>
    <row r="163" spans="1:5" x14ac:dyDescent="0.25">
      <c r="A163" s="3">
        <v>4.4360060580785357</v>
      </c>
      <c r="B163" s="3">
        <v>1.9026131842668843</v>
      </c>
      <c r="C163" s="3">
        <v>2.2612683905548021</v>
      </c>
      <c r="D163" s="3">
        <v>4.7836161009011935</v>
      </c>
      <c r="E163" s="3">
        <v>-2.7789801864606796</v>
      </c>
    </row>
    <row r="164" spans="1:5" x14ac:dyDescent="0.25">
      <c r="A164" s="3">
        <v>2.1936461582708366</v>
      </c>
      <c r="B164" s="3">
        <v>3.7045042668659565</v>
      </c>
      <c r="C164" s="3">
        <v>5.6234424873917419</v>
      </c>
      <c r="D164" s="3">
        <v>2.2886404490078593</v>
      </c>
      <c r="E164" s="3">
        <v>6.1209869882489523</v>
      </c>
    </row>
    <row r="165" spans="1:5" x14ac:dyDescent="0.25">
      <c r="A165" s="3">
        <v>4.5486772217597888</v>
      </c>
      <c r="B165" s="3">
        <v>7.0857027118368663</v>
      </c>
      <c r="C165" s="3">
        <v>10.351828130753059</v>
      </c>
      <c r="D165" s="3">
        <v>3.0051155651546346</v>
      </c>
      <c r="E165" s="3">
        <v>-2.8358823548484349</v>
      </c>
    </row>
    <row r="166" spans="1:5" x14ac:dyDescent="0.25">
      <c r="A166" s="3">
        <v>1.1002470301509257</v>
      </c>
      <c r="B166" s="3">
        <v>0.29690721649485036</v>
      </c>
      <c r="C166" s="3">
        <v>-1.8741933999840084</v>
      </c>
      <c r="D166" s="3">
        <v>1.5910042898617749</v>
      </c>
      <c r="E166" s="3">
        <v>-5.0433039256842305</v>
      </c>
    </row>
    <row r="167" spans="1:5" x14ac:dyDescent="0.25">
      <c r="A167" s="3">
        <v>14.627122757682795</v>
      </c>
      <c r="B167" s="3">
        <v>11.672724282542548</v>
      </c>
      <c r="C167" s="3">
        <v>7.6460314475744635</v>
      </c>
      <c r="D167" s="3">
        <v>4.9952962865544954</v>
      </c>
      <c r="E167" s="3">
        <v>-5.1466970669020773</v>
      </c>
    </row>
    <row r="168" spans="1:5" x14ac:dyDescent="0.25">
      <c r="A168" s="3">
        <v>3.3782558394046536</v>
      </c>
      <c r="B168" s="3">
        <v>4.4266346207656255</v>
      </c>
      <c r="C168" s="3">
        <v>-4.4569012627772358</v>
      </c>
      <c r="D168" s="3">
        <v>0.40985132733376256</v>
      </c>
      <c r="E168" s="3">
        <v>-0.78091598132440709</v>
      </c>
    </row>
    <row r="169" spans="1:5" x14ac:dyDescent="0.25">
      <c r="A169" s="3">
        <v>4.7892708717719037</v>
      </c>
      <c r="B169" s="3">
        <v>-0.971770152290374</v>
      </c>
      <c r="C169" s="3">
        <v>6.6076010228362723</v>
      </c>
      <c r="D169" s="3">
        <v>3.0563256975950934</v>
      </c>
      <c r="E169" s="3">
        <v>6.2353345332068866</v>
      </c>
    </row>
    <row r="170" spans="1:5" x14ac:dyDescent="0.25">
      <c r="A170" s="3">
        <v>3.2137579088348076</v>
      </c>
      <c r="B170" s="3">
        <v>4.2925500099687612</v>
      </c>
      <c r="C170" s="3">
        <v>5.6840400555967605</v>
      </c>
      <c r="D170" s="3">
        <v>3.7147994378204583</v>
      </c>
      <c r="E170" s="3">
        <v>1.975222896220304</v>
      </c>
    </row>
    <row r="171" spans="1:5" x14ac:dyDescent="0.25">
      <c r="A171" s="3">
        <v>11.492668614671404</v>
      </c>
      <c r="B171" s="3">
        <v>5.8006213911113607</v>
      </c>
      <c r="C171" s="3">
        <v>4.5761170700959806</v>
      </c>
      <c r="D171" s="3">
        <v>-0.3325947945634084</v>
      </c>
      <c r="E171" s="3">
        <v>5.5494853583396315</v>
      </c>
    </row>
    <row r="172" spans="1:5" x14ac:dyDescent="0.25">
      <c r="A172" s="3">
        <v>-6.2231433624868497</v>
      </c>
      <c r="B172" s="3">
        <v>3.7008388235304195</v>
      </c>
      <c r="C172" s="3">
        <v>1.5382973818970243</v>
      </c>
      <c r="D172" s="3">
        <v>5.6673460603605337</v>
      </c>
      <c r="E172" s="3">
        <v>-6.8974210432473386</v>
      </c>
    </row>
    <row r="173" spans="1:5" x14ac:dyDescent="0.25">
      <c r="A173" s="3">
        <v>7.9107491119846811</v>
      </c>
      <c r="B173" s="3">
        <v>5.9570125328255532</v>
      </c>
      <c r="C173" s="3">
        <v>5.2404246085574764</v>
      </c>
      <c r="D173" s="3">
        <v>9.1030275801822143</v>
      </c>
      <c r="E173" s="3">
        <v>-1.138606047638923</v>
      </c>
    </row>
    <row r="174" spans="1:5" x14ac:dyDescent="0.25">
      <c r="A174" s="3">
        <v>0.69671704492261211</v>
      </c>
      <c r="B174" s="3">
        <v>-5.2633021438007335</v>
      </c>
      <c r="C174" s="3">
        <v>2.0218616097068844</v>
      </c>
      <c r="D174" s="3">
        <v>-7.3039683631965957</v>
      </c>
      <c r="E174" s="3">
        <v>-9.9933725210816302</v>
      </c>
    </row>
    <row r="175" spans="1:5" x14ac:dyDescent="0.25">
      <c r="A175" s="3">
        <v>8.0530899388067461</v>
      </c>
      <c r="B175" s="3">
        <v>6.2154854825151169</v>
      </c>
      <c r="C175" s="3">
        <v>1.496570685713428</v>
      </c>
      <c r="D175" s="3">
        <v>6.2620460792516948</v>
      </c>
      <c r="E175" s="3">
        <v>-3.9344900740983793</v>
      </c>
    </row>
    <row r="176" spans="1:5" x14ac:dyDescent="0.25">
      <c r="A176" s="3">
        <v>14.433592923694757</v>
      </c>
      <c r="B176" s="3">
        <v>17.33811253271368</v>
      </c>
      <c r="C176" s="3">
        <v>8.4321868897180803</v>
      </c>
      <c r="D176" s="3">
        <v>12.052762363496434</v>
      </c>
      <c r="E176" s="3">
        <v>6.4088065901708804</v>
      </c>
    </row>
    <row r="177" spans="1:5" x14ac:dyDescent="0.25">
      <c r="A177" s="3">
        <v>6.1552698515259232</v>
      </c>
      <c r="B177" s="3">
        <v>5.2972854670018137</v>
      </c>
      <c r="C177" s="3">
        <v>5.2027386872671286</v>
      </c>
      <c r="D177" s="3">
        <v>3.5184142694524865</v>
      </c>
      <c r="E177" s="3">
        <v>-1.6062333607889956</v>
      </c>
    </row>
    <row r="178" spans="1:5" x14ac:dyDescent="0.25">
      <c r="A178" s="3">
        <v>0.68850191092767243</v>
      </c>
      <c r="B178" s="3">
        <v>5.5667913557051394</v>
      </c>
      <c r="C178" s="3">
        <v>-0.82629962314800887</v>
      </c>
      <c r="D178" s="3">
        <v>-0.88675699862869295</v>
      </c>
      <c r="E178" s="3">
        <v>-2.1722687330156742</v>
      </c>
    </row>
    <row r="179" spans="1:5" x14ac:dyDescent="0.25">
      <c r="A179" s="3">
        <v>2.6333784052008826</v>
      </c>
      <c r="B179" s="3">
        <v>10.060403349271443</v>
      </c>
      <c r="C179" s="3">
        <v>4.3141114274095163</v>
      </c>
      <c r="D179" s="3">
        <v>-0.7599537980154889</v>
      </c>
      <c r="E179" s="3">
        <v>1.5806489089372255</v>
      </c>
    </row>
    <row r="180" spans="1:5" x14ac:dyDescent="0.25">
      <c r="A180" s="3">
        <v>5.481959944169879</v>
      </c>
      <c r="B180" s="3">
        <v>0.11449109197505698</v>
      </c>
      <c r="C180" s="3">
        <v>-0.97447101147564419</v>
      </c>
      <c r="D180" s="3">
        <v>-5.1330572469421396E-2</v>
      </c>
      <c r="E180" s="3">
        <v>2.676714336307191</v>
      </c>
    </row>
    <row r="181" spans="1:5" x14ac:dyDescent="0.25">
      <c r="A181" s="3">
        <v>-18.13335273262064</v>
      </c>
      <c r="B181" s="3">
        <v>-18.369425551373546</v>
      </c>
      <c r="C181" s="3">
        <v>-13.904778102175994</v>
      </c>
      <c r="D181" s="3">
        <v>-9.3795652192331715</v>
      </c>
      <c r="E181" s="3">
        <v>-13.346326009653097</v>
      </c>
    </row>
    <row r="182" spans="1:5" x14ac:dyDescent="0.25">
      <c r="A182" s="3">
        <v>-12.553924373486586</v>
      </c>
      <c r="B182" s="3">
        <v>-4.1295452027825181</v>
      </c>
      <c r="C182" s="3">
        <v>6.5888503807042547</v>
      </c>
      <c r="D182" s="3">
        <v>-3.4733348520336964</v>
      </c>
      <c r="E182" s="3">
        <v>-6.2060846331011152</v>
      </c>
    </row>
    <row r="183" spans="1:5" x14ac:dyDescent="0.25">
      <c r="A183" s="3">
        <v>12.061962129524218</v>
      </c>
      <c r="B183" s="3">
        <v>4.964311808792111</v>
      </c>
      <c r="C183" s="3">
        <v>7.7551401432938896</v>
      </c>
      <c r="D183" s="3">
        <v>7.6629747006385696</v>
      </c>
      <c r="E183" s="3">
        <v>-1.7580074403425766E-2</v>
      </c>
    </row>
    <row r="184" spans="1:5" x14ac:dyDescent="0.25">
      <c r="A184" s="3">
        <v>7.8697369606148575</v>
      </c>
      <c r="B184" s="3">
        <v>6.497697827025557</v>
      </c>
      <c r="C184" s="3">
        <v>6.8056907420336348</v>
      </c>
      <c r="D184" s="3">
        <v>5.9918463498540051</v>
      </c>
      <c r="E184" s="3">
        <v>10.32405963150979</v>
      </c>
    </row>
    <row r="185" spans="1:5" x14ac:dyDescent="0.25">
      <c r="A185" s="3">
        <v>2.9083993920102484</v>
      </c>
      <c r="B185" s="3">
        <v>-5.8924820099800712E-2</v>
      </c>
      <c r="C185" s="3">
        <v>10.495011889517837</v>
      </c>
      <c r="D185" s="3">
        <v>2.5780256846039302</v>
      </c>
      <c r="E185" s="3">
        <v>-0.99636602313028666</v>
      </c>
    </row>
    <row r="186" spans="1:5" x14ac:dyDescent="0.25">
      <c r="A186" s="3">
        <v>-1.1916037444253069</v>
      </c>
      <c r="B186" s="3">
        <v>-7.22867763364063</v>
      </c>
      <c r="C186" s="3">
        <v>-2.7897523311808414</v>
      </c>
      <c r="D186" s="3">
        <v>4.8232455276314496</v>
      </c>
      <c r="E186" s="3">
        <v>-0.18504205855394737</v>
      </c>
    </row>
    <row r="187" spans="1:5" x14ac:dyDescent="0.25">
      <c r="A187" s="3">
        <v>1.0402916816326511</v>
      </c>
      <c r="B187" s="3">
        <v>-4.1699739710417099</v>
      </c>
      <c r="C187" s="3">
        <v>4.1612552339821116</v>
      </c>
      <c r="D187" s="3">
        <v>2.332543284797433</v>
      </c>
      <c r="E187" s="3">
        <v>13.675315948060952</v>
      </c>
    </row>
    <row r="188" spans="1:5" x14ac:dyDescent="0.25">
      <c r="A188" s="3">
        <v>2.6295974002567375</v>
      </c>
      <c r="B188" s="3">
        <v>4.3554678111827281</v>
      </c>
      <c r="C188" s="3">
        <v>3.6202086023133275</v>
      </c>
      <c r="D188" s="3">
        <v>4.1436508346224654</v>
      </c>
      <c r="E188" s="3">
        <v>5.010949748624892</v>
      </c>
    </row>
    <row r="189" spans="1:5" x14ac:dyDescent="0.25">
      <c r="A189" s="3">
        <v>-4.818844210006902</v>
      </c>
      <c r="B189" s="3">
        <v>-1.333773919312687</v>
      </c>
      <c r="C189" s="3">
        <v>-2.3245907812736286</v>
      </c>
      <c r="D189" s="3">
        <v>-5.1363638435539292</v>
      </c>
      <c r="E189" s="3">
        <v>-3.7017263245978387</v>
      </c>
    </row>
    <row r="190" spans="1:5" x14ac:dyDescent="0.25">
      <c r="A190" s="3">
        <v>0.26221020621958524</v>
      </c>
      <c r="B190" s="3">
        <v>4.6128448436257745</v>
      </c>
      <c r="C190" s="3">
        <v>5.3815099228921666</v>
      </c>
      <c r="D190" s="3">
        <v>1.9800605008058894</v>
      </c>
      <c r="E190" s="3">
        <v>8.8002679296775046</v>
      </c>
    </row>
    <row r="191" spans="1:5" x14ac:dyDescent="0.25">
      <c r="A191" s="3">
        <v>-0.13914478734837554</v>
      </c>
      <c r="B191" s="3">
        <v>-6.0653057423211898</v>
      </c>
      <c r="C191" s="3">
        <v>-3.2388293673254673</v>
      </c>
      <c r="D191" s="3">
        <v>-1.2223753031864482</v>
      </c>
      <c r="E191" s="3">
        <v>4.2943368913218931</v>
      </c>
    </row>
    <row r="192" spans="1:5" x14ac:dyDescent="0.25">
      <c r="A192" s="3">
        <v>1.4015265639423102</v>
      </c>
      <c r="B192" s="3">
        <v>3.6708339587254968</v>
      </c>
      <c r="C192" s="3">
        <v>-0.6288957328529674</v>
      </c>
      <c r="D192" s="3">
        <v>0.35628926120734156</v>
      </c>
      <c r="E192" s="3">
        <v>-5.1170987197614242</v>
      </c>
    </row>
    <row r="193" spans="1:5" x14ac:dyDescent="0.25">
      <c r="A193" s="3">
        <v>2.2348392995013513</v>
      </c>
      <c r="B193" s="3">
        <v>6.931351935064396</v>
      </c>
      <c r="C193" s="3">
        <v>3.3821732298526386</v>
      </c>
      <c r="D193" s="3">
        <v>-0.77191282401059058</v>
      </c>
      <c r="E193" s="3">
        <v>5.3064733201574077</v>
      </c>
    </row>
    <row r="194" spans="1:5" x14ac:dyDescent="0.25">
      <c r="A194" s="3">
        <v>3.6435463247462532</v>
      </c>
      <c r="B194" s="3">
        <v>14.725490123010534</v>
      </c>
      <c r="C194" s="3">
        <v>2.1468099649832291</v>
      </c>
      <c r="D194" s="3">
        <v>4.2977747114860927</v>
      </c>
      <c r="E194" s="3">
        <v>2.1250847419288097</v>
      </c>
    </row>
    <row r="195" spans="1:5" x14ac:dyDescent="0.25">
      <c r="A195" s="3">
        <v>2.7869143970673007</v>
      </c>
      <c r="B195" s="3">
        <v>18.850239443222776</v>
      </c>
      <c r="C195" s="3">
        <v>6.9760447725379358</v>
      </c>
      <c r="D195" s="3">
        <v>4.4581085621374577</v>
      </c>
      <c r="E195" s="3">
        <v>6.3934698557361918</v>
      </c>
    </row>
    <row r="196" spans="1:5" x14ac:dyDescent="0.25">
      <c r="A196" s="3">
        <v>-9.2139266609989328</v>
      </c>
      <c r="B196" s="3">
        <v>18.094118440159534</v>
      </c>
      <c r="C196" s="3">
        <v>-7.6016367524828263</v>
      </c>
      <c r="D196" s="3">
        <v>-10.184541208029504</v>
      </c>
      <c r="E196" s="3">
        <v>3.686067094992531E-2</v>
      </c>
    </row>
    <row r="197" spans="1:5" x14ac:dyDescent="0.25">
      <c r="A197" s="3">
        <v>7.7220797730435065</v>
      </c>
      <c r="B197" s="3">
        <v>-7.7804387260413428</v>
      </c>
      <c r="C197" s="3">
        <v>6.429049665619992</v>
      </c>
      <c r="D197" s="3">
        <v>3.8045387125119081</v>
      </c>
      <c r="E197" s="3">
        <v>-1.4957959430253343</v>
      </c>
    </row>
    <row r="198" spans="1:5" x14ac:dyDescent="0.25">
      <c r="A198" s="3">
        <v>3.9729397744597432</v>
      </c>
      <c r="B198" s="3">
        <v>-8.2741651344835798</v>
      </c>
      <c r="C198" s="3">
        <v>-2.6423313436013265</v>
      </c>
      <c r="D198" s="3">
        <v>1.1519500314705367</v>
      </c>
      <c r="E198" s="3">
        <v>-5.4310428927119858</v>
      </c>
    </row>
    <row r="199" spans="1:5" x14ac:dyDescent="0.25">
      <c r="A199" s="3">
        <v>-0.33423738505556694</v>
      </c>
      <c r="B199" s="3">
        <v>-4.2800243491503922</v>
      </c>
      <c r="C199" s="3">
        <v>2.4012976090352107</v>
      </c>
      <c r="D199" s="3">
        <v>-0.34470304619297421</v>
      </c>
      <c r="E199" s="3">
        <v>5.0295774398020274</v>
      </c>
    </row>
    <row r="200" spans="1:5" x14ac:dyDescent="0.25">
      <c r="A200" s="3">
        <v>3.0142345447309378</v>
      </c>
      <c r="B200" s="3">
        <v>-3.6730134382606963</v>
      </c>
      <c r="C200" s="3">
        <v>-1.7853631292782077</v>
      </c>
      <c r="D200" s="3">
        <v>1.7679697097417495</v>
      </c>
      <c r="E200" s="3">
        <v>-8.3488480335117483</v>
      </c>
    </row>
    <row r="201" spans="1:5" x14ac:dyDescent="0.25">
      <c r="A201" s="3">
        <v>-4.2721482526684662</v>
      </c>
      <c r="B201" s="3">
        <v>-9.1434011250540816</v>
      </c>
      <c r="C201" s="3">
        <v>-0.51873822678544868</v>
      </c>
      <c r="D201" s="3">
        <v>-0.4328593887908152</v>
      </c>
      <c r="E201" s="3">
        <v>-0.19760700982710799</v>
      </c>
    </row>
    <row r="202" spans="1:5" x14ac:dyDescent="0.25">
      <c r="A202" s="3">
        <v>4.9773727846532241</v>
      </c>
      <c r="B202" s="3">
        <v>3.3141668399343738</v>
      </c>
      <c r="C202" s="3">
        <v>-0.71022041546849346</v>
      </c>
      <c r="D202" s="3">
        <v>2.5423963572461186</v>
      </c>
      <c r="E202" s="3">
        <v>-4.8025693951443591</v>
      </c>
    </row>
    <row r="203" spans="1:5" x14ac:dyDescent="0.25">
      <c r="A203" s="3">
        <v>2.6514124018149001</v>
      </c>
      <c r="B203" s="3">
        <v>-15.159080839334441</v>
      </c>
      <c r="C203" s="3">
        <v>-8.0378010413960386</v>
      </c>
      <c r="D203" s="3">
        <v>-2.2529861828103592</v>
      </c>
      <c r="E203" s="3">
        <v>-5.8295268242147182</v>
      </c>
    </row>
    <row r="204" spans="1:5" x14ac:dyDescent="0.25">
      <c r="A204" s="3">
        <v>-0.93771714116514404</v>
      </c>
      <c r="B204" s="3">
        <v>4.9049140422942372</v>
      </c>
      <c r="C204" s="3">
        <v>3.4617223835794713</v>
      </c>
      <c r="D204" s="3">
        <v>1.024210214637475</v>
      </c>
      <c r="E204" s="3">
        <v>0.61086138550411995</v>
      </c>
    </row>
    <row r="205" spans="1:5" x14ac:dyDescent="0.25">
      <c r="A205" s="3">
        <v>-4.6185415263328737</v>
      </c>
      <c r="B205" s="3">
        <v>-11.072924688627088</v>
      </c>
      <c r="C205" s="3">
        <v>-8.76441029800033</v>
      </c>
      <c r="D205" s="3">
        <v>-5.8369009307432451</v>
      </c>
      <c r="E205" s="3">
        <v>-3.6611896307114309</v>
      </c>
    </row>
    <row r="206" spans="1:5" x14ac:dyDescent="0.25">
      <c r="A206" s="3">
        <v>-8.7396148287946236</v>
      </c>
      <c r="B206" s="3">
        <v>-9.8077627120900388</v>
      </c>
      <c r="C206" s="3">
        <v>-7.3934828362889977</v>
      </c>
      <c r="D206" s="3">
        <v>-4.1452722379113389</v>
      </c>
      <c r="E206" s="3">
        <v>3.9641210991612565</v>
      </c>
    </row>
    <row r="207" spans="1:5" x14ac:dyDescent="0.25">
      <c r="A207" s="3">
        <v>3.9862691071998371</v>
      </c>
      <c r="B207" s="3">
        <v>4.7266833804808419</v>
      </c>
      <c r="C207" s="3">
        <v>9.2733142540248217</v>
      </c>
      <c r="D207" s="3">
        <v>6.480702698231382</v>
      </c>
      <c r="E207" s="3">
        <v>5.0618536408097849</v>
      </c>
    </row>
    <row r="208" spans="1:5" x14ac:dyDescent="0.25">
      <c r="A208" s="3">
        <v>5.0957635482602353</v>
      </c>
      <c r="B208" s="3">
        <v>1.8340225452638941</v>
      </c>
      <c r="C208" s="3">
        <v>1.1639808641215492</v>
      </c>
      <c r="D208" s="3">
        <v>-1.3293010332237887</v>
      </c>
      <c r="E208" s="3">
        <v>-0.89874037990372546</v>
      </c>
    </row>
    <row r="209" spans="1:5" x14ac:dyDescent="0.25">
      <c r="A209" s="3">
        <v>-5.4897103235685227</v>
      </c>
      <c r="B209" s="3">
        <v>-2.4969602854459856</v>
      </c>
      <c r="C209" s="3">
        <v>-3.0951286320630067</v>
      </c>
      <c r="D209" s="3">
        <v>-3.5096502384857016</v>
      </c>
      <c r="E209" s="3">
        <v>-4.416876083440946</v>
      </c>
    </row>
    <row r="210" spans="1:5" x14ac:dyDescent="0.25">
      <c r="A210" s="3">
        <v>-5.9347377363766567</v>
      </c>
      <c r="B210" s="3">
        <v>-4.9736861716662348</v>
      </c>
      <c r="C210" s="3">
        <v>-1.3967441605700994</v>
      </c>
      <c r="D210" s="3">
        <v>-3.5273870907414557</v>
      </c>
      <c r="E210" s="3">
        <v>-8.1188736444517264</v>
      </c>
    </row>
    <row r="211" spans="1:5" x14ac:dyDescent="0.25">
      <c r="A211" s="3">
        <v>-2.2691274314916074</v>
      </c>
      <c r="B211" s="3">
        <v>-2.2140180061215458</v>
      </c>
      <c r="C211" s="3">
        <v>-4.9700598802395177</v>
      </c>
      <c r="D211" s="3">
        <v>0.96858615926404701</v>
      </c>
      <c r="E211" s="3">
        <v>-4.224189464655046</v>
      </c>
    </row>
    <row r="212" spans="1:5" x14ac:dyDescent="0.25">
      <c r="A212" s="3">
        <v>-7.6764114132069068</v>
      </c>
      <c r="B212" s="3">
        <v>-18.747130958154951</v>
      </c>
      <c r="C212" s="3">
        <v>-8.8416708784564442</v>
      </c>
      <c r="D212" s="3">
        <v>-9.005743809778064</v>
      </c>
      <c r="E212" s="3">
        <v>-11.138841750643817</v>
      </c>
    </row>
    <row r="213" spans="1:5" x14ac:dyDescent="0.25">
      <c r="A213" s="3">
        <v>1.8439273067482191</v>
      </c>
      <c r="B213" s="3">
        <v>8.8547468440699486</v>
      </c>
      <c r="C213" s="3">
        <v>3.3339504697087374</v>
      </c>
      <c r="D213" s="3">
        <v>3.6854880165113562</v>
      </c>
      <c r="E213" s="3">
        <v>4.7625625904137729</v>
      </c>
    </row>
    <row r="214" spans="1:5" x14ac:dyDescent="0.25">
      <c r="A214" s="3">
        <v>2.9077825472545618</v>
      </c>
      <c r="B214" s="3">
        <v>3.6246520902220793</v>
      </c>
      <c r="C214" s="3">
        <v>5.8214498251286582</v>
      </c>
      <c r="D214" s="3">
        <v>3.3577194184277008</v>
      </c>
      <c r="E214" s="3">
        <v>-1.0919629889642941</v>
      </c>
    </row>
    <row r="215" spans="1:5" x14ac:dyDescent="0.25">
      <c r="A215" s="3">
        <v>2.063302279513179</v>
      </c>
      <c r="B215" s="3">
        <v>3.2469415647188229</v>
      </c>
      <c r="C215" s="3">
        <v>1.7738880645535711</v>
      </c>
      <c r="D215" s="3">
        <v>0.87250376268579544</v>
      </c>
      <c r="E215" s="3">
        <v>-0.12383709085173067</v>
      </c>
    </row>
    <row r="216" spans="1:5" x14ac:dyDescent="0.25">
      <c r="A216" s="3">
        <v>-1.3545651402117502</v>
      </c>
      <c r="B216" s="3">
        <v>0.89037082237622289</v>
      </c>
      <c r="C216" s="3">
        <v>-5.0362801043902614</v>
      </c>
      <c r="D216" s="3">
        <v>-2.4444627184250769</v>
      </c>
      <c r="E216" s="3">
        <v>-5.3996559471324153</v>
      </c>
    </row>
    <row r="217" spans="1:5" x14ac:dyDescent="0.25">
      <c r="A217" s="3">
        <v>1.1310665524993739</v>
      </c>
      <c r="B217" s="3">
        <v>-1.6507820694058108</v>
      </c>
      <c r="C217" s="3">
        <v>0.5925100776810015</v>
      </c>
      <c r="D217" s="3">
        <v>0.14256585216330925</v>
      </c>
      <c r="E217" s="3">
        <v>3.6233950647340092</v>
      </c>
    </row>
    <row r="218" spans="1:5" x14ac:dyDescent="0.25">
      <c r="A218" s="3">
        <v>5.076769613385645</v>
      </c>
      <c r="B218" s="3">
        <v>5.1999521686397081</v>
      </c>
      <c r="C218" s="3">
        <v>3.7288725935535609</v>
      </c>
      <c r="D218" s="3">
        <v>3.9225651004974278</v>
      </c>
      <c r="E218" s="3">
        <v>4.8119845072894023</v>
      </c>
    </row>
    <row r="219" spans="1:5" x14ac:dyDescent="0.25">
      <c r="A219" s="3">
        <v>-0.76259472856393373</v>
      </c>
      <c r="B219" s="3">
        <v>-6.5948936124146833</v>
      </c>
      <c r="C219" s="3">
        <v>-7.512163119245538</v>
      </c>
      <c r="D219" s="3">
        <v>-2.1484028282114935</v>
      </c>
      <c r="E219" s="3">
        <v>3.0055087269543481</v>
      </c>
    </row>
    <row r="220" spans="1:5" x14ac:dyDescent="0.25">
      <c r="A220" s="3">
        <v>0.82382888316942049</v>
      </c>
      <c r="B220" s="3">
        <v>-5.7953317797434414</v>
      </c>
      <c r="C220" s="3">
        <v>0.46291041907950475</v>
      </c>
      <c r="D220" s="3">
        <v>-1.8235938454934704</v>
      </c>
      <c r="E220" s="3">
        <v>3.1674043361285591</v>
      </c>
    </row>
    <row r="221" spans="1:5" x14ac:dyDescent="0.25">
      <c r="A221" s="3">
        <v>-9.2227767300972605</v>
      </c>
      <c r="B221" s="3">
        <v>-9.8759172195614955</v>
      </c>
      <c r="C221" s="3">
        <v>-7.7176127896949041</v>
      </c>
      <c r="D221" s="3">
        <v>-8.0902166588797328</v>
      </c>
      <c r="E221" s="3">
        <v>-9.3106948496904458</v>
      </c>
    </row>
    <row r="222" spans="1:5" x14ac:dyDescent="0.25">
      <c r="A222" s="3">
        <v>-11.279561574691144</v>
      </c>
      <c r="B222" s="3">
        <v>-15.71286907632558</v>
      </c>
      <c r="C222" s="3">
        <v>-8.5601633746662209</v>
      </c>
      <c r="D222" s="3">
        <v>-9.9988705528471549</v>
      </c>
      <c r="E222" s="3">
        <v>-8.4758377723074432</v>
      </c>
    </row>
    <row r="223" spans="1:5" x14ac:dyDescent="0.25">
      <c r="A223" s="3">
        <v>-2.0288903068768889</v>
      </c>
      <c r="B223" s="3">
        <v>-7.6675601356283662</v>
      </c>
      <c r="C223" s="3">
        <v>2.2173504755594711</v>
      </c>
      <c r="D223" s="3">
        <v>0.73680041930225393</v>
      </c>
      <c r="E223" s="3">
        <v>-0.71923641033194097</v>
      </c>
    </row>
    <row r="224" spans="1:5" x14ac:dyDescent="0.25">
      <c r="A224" s="3">
        <v>-4.1255484987222442</v>
      </c>
      <c r="B224" s="3">
        <v>-24.380403963710666</v>
      </c>
      <c r="C224" s="3">
        <v>-10.200303774709592</v>
      </c>
      <c r="D224" s="3">
        <v>-7.1794811294345076</v>
      </c>
      <c r="E224" s="3">
        <v>7.3134241033794307E-3</v>
      </c>
    </row>
    <row r="225" spans="1:5" x14ac:dyDescent="0.25">
      <c r="A225" s="3">
        <v>-2.8650612031419795</v>
      </c>
      <c r="B225" s="3">
        <v>13.320166812746562</v>
      </c>
      <c r="C225" s="3">
        <v>6.8984491893744115</v>
      </c>
      <c r="D225" s="3">
        <v>0.57374359889089765</v>
      </c>
      <c r="E225" s="3">
        <v>-7.9185009830612607</v>
      </c>
    </row>
    <row r="226" spans="1:5" x14ac:dyDescent="0.25">
      <c r="A226" s="3">
        <v>7.1598375502888754</v>
      </c>
      <c r="B226" s="3">
        <v>9.0151985905299377</v>
      </c>
      <c r="C226" s="3">
        <v>6.635840812072237</v>
      </c>
      <c r="D226" s="3">
        <v>6.3781191885708024</v>
      </c>
      <c r="E226" s="3">
        <v>4.0946566721540432</v>
      </c>
    </row>
    <row r="227" spans="1:5" x14ac:dyDescent="0.25">
      <c r="A227" s="3">
        <v>-10.314771044223962</v>
      </c>
      <c r="B227" s="3">
        <v>-13.6930595865902</v>
      </c>
      <c r="C227" s="3">
        <v>-6.4980652947131414</v>
      </c>
      <c r="D227" s="3">
        <v>-8.0854813303315503</v>
      </c>
      <c r="E227" s="3">
        <v>-4.9768503380896956</v>
      </c>
    </row>
    <row r="228" spans="1:5" x14ac:dyDescent="0.25">
      <c r="A228" s="3">
        <v>-5.2443209999008058</v>
      </c>
      <c r="B228" s="3">
        <v>-2.493209097633593</v>
      </c>
      <c r="C228" s="3">
        <v>-0.98868755148603604</v>
      </c>
      <c r="D228" s="3">
        <v>-8.5596002117062238</v>
      </c>
      <c r="E228" s="3">
        <v>-3.3993427730846717</v>
      </c>
    </row>
    <row r="229" spans="1:5" x14ac:dyDescent="0.25">
      <c r="A229" s="3">
        <v>-4.155137181333961</v>
      </c>
      <c r="B229" s="3">
        <v>-4.9542284497596691</v>
      </c>
      <c r="C229" s="3">
        <v>-2.4640077397052971</v>
      </c>
      <c r="D229" s="3">
        <v>5.1690837227598978</v>
      </c>
      <c r="E229" s="3">
        <v>-1.1512595463353368</v>
      </c>
    </row>
    <row r="230" spans="1:5" x14ac:dyDescent="0.25">
      <c r="A230" s="3">
        <v>2.1973460931506419</v>
      </c>
      <c r="B230" s="3">
        <v>-0.4933112891488296</v>
      </c>
      <c r="C230" s="3">
        <v>2.8004373393792146</v>
      </c>
      <c r="D230" s="3">
        <v>2.1383656108366416</v>
      </c>
      <c r="E230" s="3">
        <v>-0.32227763683886745</v>
      </c>
    </row>
    <row r="231" spans="1:5" x14ac:dyDescent="0.25">
      <c r="A231" s="3">
        <v>8.1873470061295723</v>
      </c>
      <c r="B231" s="3">
        <v>14.480752768622052</v>
      </c>
      <c r="C231" s="3">
        <v>6.4669468899367892</v>
      </c>
      <c r="D231" s="3">
        <v>6.4086085680213252</v>
      </c>
      <c r="E231" s="3">
        <v>-7.4709367833614024</v>
      </c>
    </row>
    <row r="232" spans="1:5" x14ac:dyDescent="0.25">
      <c r="A232" s="3">
        <v>3.5681600847209913</v>
      </c>
      <c r="B232" s="3">
        <v>1.4102771685532209</v>
      </c>
      <c r="C232" s="3">
        <v>3.797562401083125</v>
      </c>
      <c r="D232" s="3">
        <v>4.522199769736841</v>
      </c>
      <c r="E232" s="3">
        <v>8.3950546538114459</v>
      </c>
    </row>
    <row r="233" spans="1:5" x14ac:dyDescent="0.25">
      <c r="A233" s="3">
        <v>3.7760238813441442</v>
      </c>
      <c r="B233" s="3">
        <v>8.7723219793570237</v>
      </c>
      <c r="C233" s="3">
        <v>2.870444127577179</v>
      </c>
      <c r="D233" s="3">
        <v>7.7945464243759074E-2</v>
      </c>
      <c r="E233" s="3">
        <v>8.5318511629918792</v>
      </c>
    </row>
    <row r="234" spans="1:5" x14ac:dyDescent="0.25">
      <c r="A234" s="3">
        <v>2.8742693735050269</v>
      </c>
      <c r="B234" s="3">
        <v>5.3358206963548902</v>
      </c>
      <c r="C234" s="3">
        <v>1.5281022418274699</v>
      </c>
      <c r="D234" s="3">
        <v>1.8912550867041424</v>
      </c>
      <c r="E234" s="3">
        <v>6.6487103441480873</v>
      </c>
    </row>
    <row r="235" spans="1:5" x14ac:dyDescent="0.25">
      <c r="A235" s="3">
        <v>2.8256991162587166</v>
      </c>
      <c r="B235" s="3">
        <v>2.4597972570669961</v>
      </c>
      <c r="C235" s="3">
        <v>2.0265382840702517</v>
      </c>
      <c r="D235" s="3">
        <v>1.4336411480299094</v>
      </c>
      <c r="E235" s="3">
        <v>4.7589636699015223</v>
      </c>
    </row>
    <row r="236" spans="1:5" x14ac:dyDescent="0.25">
      <c r="A236" s="3">
        <v>-0.4954173719314432</v>
      </c>
      <c r="B236" s="3">
        <v>-2.4164462759847698</v>
      </c>
      <c r="C236" s="3">
        <v>-0.10381850583157054</v>
      </c>
      <c r="D236" s="3">
        <v>-0.23030262140567587</v>
      </c>
      <c r="E236" s="3">
        <v>0.81400545180523243</v>
      </c>
    </row>
    <row r="237" spans="1:5" x14ac:dyDescent="0.25">
      <c r="A237" s="3">
        <v>1.6054959349139106</v>
      </c>
      <c r="B237" s="3">
        <v>9.1759613910474069</v>
      </c>
      <c r="C237" s="3">
        <v>4.3155421233142359</v>
      </c>
      <c r="D237" s="3">
        <v>2.8504598710056555</v>
      </c>
      <c r="E237" s="3">
        <v>5.1248154649693127</v>
      </c>
    </row>
    <row r="238" spans="1:5" x14ac:dyDescent="0.25">
      <c r="A238" s="3">
        <v>2.5838123263936588</v>
      </c>
      <c r="B238" s="3">
        <v>2.1418922369172368</v>
      </c>
      <c r="C238" s="3">
        <v>1.2401992539147149</v>
      </c>
      <c r="D238" s="3">
        <v>2.0441901789315815</v>
      </c>
      <c r="E238" s="3">
        <v>-4.8801239384683299</v>
      </c>
    </row>
    <row r="239" spans="1:5" x14ac:dyDescent="0.25">
      <c r="A239" s="3">
        <v>2.4690017560086304</v>
      </c>
      <c r="B239" s="3">
        <v>3.3236225804545669</v>
      </c>
      <c r="C239" s="3">
        <v>4.9785125800853161</v>
      </c>
      <c r="D239" s="3">
        <v>2.7665617478244857</v>
      </c>
      <c r="E239" s="3">
        <v>2.8622905991643135</v>
      </c>
    </row>
    <row r="240" spans="1:5" x14ac:dyDescent="0.25">
      <c r="A240" s="3">
        <v>5.8688249660858043</v>
      </c>
      <c r="B240" s="3">
        <v>5.0432384404250916</v>
      </c>
      <c r="C240" s="3">
        <v>2.2636541059900939</v>
      </c>
      <c r="D240" s="3">
        <v>-1.0427855755832767</v>
      </c>
      <c r="E240" s="3">
        <v>2.8734231767809764</v>
      </c>
    </row>
    <row r="241" spans="1:5" x14ac:dyDescent="0.25">
      <c r="A241" s="3">
        <v>0.95138713838762068</v>
      </c>
      <c r="B241" s="3">
        <v>-1.7052294820767164</v>
      </c>
      <c r="C241" s="3">
        <v>0.97510460552025258</v>
      </c>
      <c r="D241" s="3">
        <v>2.1251176367668103</v>
      </c>
      <c r="E241" s="3">
        <v>2.3429321438623272</v>
      </c>
    </row>
    <row r="242" spans="1:5" x14ac:dyDescent="0.25">
      <c r="A242" s="3">
        <v>-2.4315430454294811</v>
      </c>
      <c r="B242" s="3">
        <v>-2.4608365310575966</v>
      </c>
      <c r="C242" s="3">
        <v>-1.920617649607359</v>
      </c>
      <c r="D242" s="3">
        <v>-1.1382594442838128</v>
      </c>
      <c r="E242" s="3">
        <v>8.3437709887636444</v>
      </c>
    </row>
    <row r="243" spans="1:5" x14ac:dyDescent="0.25">
      <c r="A243" s="3">
        <v>3.8494541640844808</v>
      </c>
      <c r="B243" s="3">
        <v>1.2494499603097893</v>
      </c>
      <c r="C243" s="3">
        <v>-0.62101065800981647</v>
      </c>
      <c r="D243" s="3">
        <v>3.3470695987209691</v>
      </c>
      <c r="E243" s="3">
        <v>1.9723383401328711</v>
      </c>
    </row>
    <row r="244" spans="1:5" x14ac:dyDescent="0.25">
      <c r="A244" s="3">
        <v>-2.5443609712845081</v>
      </c>
      <c r="B244" s="3">
        <v>-3.1092888278265813</v>
      </c>
      <c r="C244" s="3">
        <v>0.7381336432681197</v>
      </c>
      <c r="D244" s="3">
        <v>-1.8407870003055316</v>
      </c>
      <c r="E244" s="3">
        <v>-5.0844770278019276</v>
      </c>
    </row>
    <row r="245" spans="1:5" x14ac:dyDescent="0.25">
      <c r="A245" s="3">
        <v>1.0891870266879993</v>
      </c>
      <c r="B245" s="3">
        <v>3.6203300335910273</v>
      </c>
      <c r="C245" s="3">
        <v>1.4502882275354032</v>
      </c>
      <c r="D245" s="3">
        <v>2.1131338534975632</v>
      </c>
      <c r="E245" s="3">
        <v>3.8265030124731392</v>
      </c>
    </row>
    <row r="246" spans="1:5" x14ac:dyDescent="0.25">
      <c r="A246" s="3">
        <v>-2.3629872641963559</v>
      </c>
      <c r="B246" s="3">
        <v>-4.7743187025299099</v>
      </c>
      <c r="C246" s="3">
        <v>-3.1188737295012641</v>
      </c>
      <c r="D246" s="3">
        <v>-2.0740177487454652</v>
      </c>
      <c r="E246" s="3">
        <v>-5.2998858760575658</v>
      </c>
    </row>
    <row r="247" spans="1:5" x14ac:dyDescent="0.25">
      <c r="A247" s="3">
        <v>-1.4377760153818193</v>
      </c>
      <c r="B247" s="3">
        <v>-0.8563697008458776</v>
      </c>
      <c r="C247" s="3">
        <v>0.94429813077719815</v>
      </c>
      <c r="D247" s="3">
        <v>2.1798258073484735</v>
      </c>
      <c r="E247" s="3">
        <v>1.3848628121377053</v>
      </c>
    </row>
    <row r="248" spans="1:5" x14ac:dyDescent="0.25">
      <c r="A248" s="3">
        <v>1.3503165073087153</v>
      </c>
      <c r="B248" s="3">
        <v>2.8033736052818092</v>
      </c>
      <c r="C248" s="3">
        <v>0.82911631566474808</v>
      </c>
      <c r="D248" s="3">
        <v>2.3301258358071411</v>
      </c>
      <c r="E248" s="3">
        <v>-3.8773009970227328</v>
      </c>
    </row>
    <row r="249" spans="1:5" x14ac:dyDescent="0.25">
      <c r="A249" s="3">
        <v>-3.1154236130012833</v>
      </c>
      <c r="B249" s="3">
        <v>-0.10071039563691227</v>
      </c>
      <c r="C249" s="3">
        <v>1.5020609267006342</v>
      </c>
      <c r="D249" s="3">
        <v>0.77363809161111385</v>
      </c>
      <c r="E249" s="3">
        <v>0.25029966406912263</v>
      </c>
    </row>
    <row r="250" spans="1:5" x14ac:dyDescent="0.25">
      <c r="A250" s="3">
        <v>3.035102311995463</v>
      </c>
      <c r="B250" s="3">
        <v>4.2959173386538412</v>
      </c>
      <c r="C250" s="3">
        <v>4.5352748296577889</v>
      </c>
      <c r="D250" s="3">
        <v>3.0071917782796951</v>
      </c>
      <c r="E250" s="3">
        <v>1.973700808401899</v>
      </c>
    </row>
    <row r="251" spans="1:5" x14ac:dyDescent="0.25">
      <c r="A251" s="3">
        <v>3.1074056465654296</v>
      </c>
      <c r="B251" s="3">
        <v>1.8023281133656692</v>
      </c>
      <c r="C251" s="3">
        <v>3.2017609936557276</v>
      </c>
      <c r="D251" s="3">
        <v>1.9126469764493774</v>
      </c>
      <c r="E251" s="3">
        <v>3.3123952395805123</v>
      </c>
    </row>
    <row r="252" spans="1:5" x14ac:dyDescent="0.25">
      <c r="A252" s="3">
        <v>0.92934373686935512</v>
      </c>
      <c r="B252" s="3">
        <v>-1.2646895871003938</v>
      </c>
      <c r="C252" s="3">
        <v>-3.388335871787254</v>
      </c>
      <c r="D252" s="3">
        <v>0.59411656178664141</v>
      </c>
      <c r="E252" s="3">
        <v>-0.82284429931657088</v>
      </c>
    </row>
    <row r="253" spans="1:5" x14ac:dyDescent="0.25">
      <c r="A253" s="3">
        <v>3.3116121236178713</v>
      </c>
      <c r="B253" s="3">
        <v>1.9970495489783346</v>
      </c>
      <c r="C253" s="3">
        <v>2.934776890695638</v>
      </c>
      <c r="D253" s="3">
        <v>3.1136788748163609</v>
      </c>
      <c r="E253" s="3">
        <v>3.2658224791655246</v>
      </c>
    </row>
    <row r="254" spans="1:5" x14ac:dyDescent="0.25">
      <c r="A254" s="3">
        <v>0.93162626944768079</v>
      </c>
      <c r="B254" s="3">
        <v>8.7132742225904267E-2</v>
      </c>
      <c r="C254" s="3">
        <v>-2.8713825684776451</v>
      </c>
      <c r="D254" s="3">
        <v>-0.30587782147190712</v>
      </c>
      <c r="E254" s="3">
        <v>6.3466242222271988E-3</v>
      </c>
    </row>
    <row r="255" spans="1:5" x14ac:dyDescent="0.25">
      <c r="A255" s="3">
        <v>-0.6268993984017277</v>
      </c>
      <c r="B255" s="3">
        <v>-3.4539121253370726</v>
      </c>
      <c r="C255" s="3">
        <v>-0.51855322307361029</v>
      </c>
      <c r="D255" s="3">
        <v>-2.5690542607323197</v>
      </c>
      <c r="E255" s="3">
        <v>-3.9778283063187625</v>
      </c>
    </row>
    <row r="256" spans="1:5" x14ac:dyDescent="0.25">
      <c r="A256" s="3">
        <v>5.2828128284786571</v>
      </c>
      <c r="B256" s="3">
        <v>6.1299346284694813</v>
      </c>
      <c r="C256" s="3">
        <v>3.925935928923713</v>
      </c>
      <c r="D256" s="3">
        <v>4.2497213344554474</v>
      </c>
      <c r="E256" s="3">
        <v>0.9577138007141458</v>
      </c>
    </row>
    <row r="257" spans="1:5" x14ac:dyDescent="0.25">
      <c r="A257" s="3">
        <v>1.7858400747682277</v>
      </c>
      <c r="B257" s="3">
        <v>3.076756772047232</v>
      </c>
      <c r="C257" s="3">
        <v>0.29680265790515742</v>
      </c>
      <c r="D257" s="3">
        <v>2.7706467331314975</v>
      </c>
      <c r="E257" s="3">
        <v>3.4037964096304671</v>
      </c>
    </row>
    <row r="258" spans="1:5" x14ac:dyDescent="0.25">
      <c r="A258" s="3">
        <v>5.6223577762979895</v>
      </c>
      <c r="B258" s="3">
        <v>4.7494060547135417</v>
      </c>
      <c r="C258" s="3">
        <v>3.0541422256026367</v>
      </c>
      <c r="D258" s="3">
        <v>3.2277481797511456</v>
      </c>
      <c r="E258" s="3">
        <v>2.3265345223269582</v>
      </c>
    </row>
    <row r="259" spans="1:5" x14ac:dyDescent="0.25">
      <c r="A259" s="3">
        <v>-2.0350537951728254</v>
      </c>
      <c r="B259" s="3">
        <v>-1.7532565959987101</v>
      </c>
      <c r="C259" s="3">
        <v>-1.6396392290835675</v>
      </c>
      <c r="D259" s="3">
        <v>-0.50716373828308492</v>
      </c>
      <c r="E259" s="3">
        <v>4.7940220647615179</v>
      </c>
    </row>
    <row r="260" spans="1:5" x14ac:dyDescent="0.25">
      <c r="A260" s="3">
        <v>6.0972713240184797</v>
      </c>
      <c r="B260" s="3">
        <v>3.024049157346167</v>
      </c>
      <c r="C260" s="3">
        <v>1.4156636852149382</v>
      </c>
      <c r="D260" s="3">
        <v>4.8480081388203402</v>
      </c>
      <c r="E260" s="3">
        <v>15.161430403651737</v>
      </c>
    </row>
    <row r="261" spans="1:5" x14ac:dyDescent="0.25">
      <c r="A261" s="3">
        <v>-8.7957470676703411E-2</v>
      </c>
      <c r="B261" s="3">
        <v>-4.7926128406341864</v>
      </c>
      <c r="C261" s="3">
        <v>-2.210874574889881</v>
      </c>
      <c r="D261" s="3">
        <v>-4.8593704698103517</v>
      </c>
      <c r="E261" s="3">
        <v>-1.3291582402549273</v>
      </c>
    </row>
    <row r="262" spans="1:5" x14ac:dyDescent="0.25">
      <c r="A262" s="3">
        <v>8.3242665331238719</v>
      </c>
      <c r="B262" s="3">
        <v>6.8217654894924307</v>
      </c>
      <c r="C262" s="3">
        <v>5.4337036815283062</v>
      </c>
      <c r="D262" s="3">
        <v>5.848810872191768</v>
      </c>
      <c r="E262" s="3">
        <v>9.7258702515419646</v>
      </c>
    </row>
    <row r="263" spans="1:5" x14ac:dyDescent="0.25">
      <c r="A263" s="3">
        <v>2.4425883052221926</v>
      </c>
      <c r="B263" s="3">
        <v>5.1429625798617238</v>
      </c>
      <c r="C263" s="3">
        <v>-4.5965104209646994E-2</v>
      </c>
      <c r="D263" s="3">
        <v>2.8961244328801672</v>
      </c>
      <c r="E263" s="3">
        <v>7.2663460855500492</v>
      </c>
    </row>
    <row r="264" spans="1:5" x14ac:dyDescent="0.25">
      <c r="A264" s="3">
        <v>2.1431737290981174</v>
      </c>
      <c r="B264" s="3">
        <v>4.8447178121744612</v>
      </c>
      <c r="C264" s="3">
        <v>2.4404299828258638</v>
      </c>
      <c r="D264" s="3">
        <v>2.4795721765305556</v>
      </c>
      <c r="E264" s="3">
        <v>2.0217503559133316</v>
      </c>
    </row>
    <row r="265" spans="1:5" x14ac:dyDescent="0.25">
      <c r="A265" s="3">
        <v>1.4696774651646838</v>
      </c>
      <c r="B265" s="3">
        <v>2.9806886009068294</v>
      </c>
      <c r="C265" s="3">
        <v>-9.5277745446517889E-2</v>
      </c>
      <c r="D265" s="3">
        <v>0.34151351289418003</v>
      </c>
      <c r="E265" s="3">
        <v>-0.61687487261121321</v>
      </c>
    </row>
    <row r="266" spans="1:5" x14ac:dyDescent="0.25">
      <c r="A266" s="3">
        <v>1.5800077060904021</v>
      </c>
      <c r="B266" s="3">
        <v>2.4140943203008458</v>
      </c>
      <c r="C266" s="3">
        <v>1.8443656966750419</v>
      </c>
      <c r="D266" s="3">
        <v>3.8283732200334568</v>
      </c>
      <c r="E266" s="3">
        <v>3.3472750614545537</v>
      </c>
    </row>
    <row r="267" spans="1:5" x14ac:dyDescent="0.25">
      <c r="A267" s="3">
        <v>1.8737216313790903</v>
      </c>
      <c r="B267" s="3">
        <v>1.7622436885704857</v>
      </c>
      <c r="C267" s="3">
        <v>0.7593249206699294</v>
      </c>
      <c r="D267" s="3">
        <v>1.1187498195716037</v>
      </c>
      <c r="E267" s="3">
        <v>0.69350326408278173</v>
      </c>
    </row>
    <row r="268" spans="1:5" x14ac:dyDescent="0.25">
      <c r="A268" s="3">
        <v>-4.2157738908950479</v>
      </c>
      <c r="B268" s="3">
        <v>-4.3809045295621258</v>
      </c>
      <c r="C268" s="3">
        <v>-2.2458644039261717</v>
      </c>
      <c r="D268" s="3">
        <v>-3.5537265972662726</v>
      </c>
      <c r="E268" s="3">
        <v>-5.819855329362416</v>
      </c>
    </row>
    <row r="269" spans="1:5" x14ac:dyDescent="0.25">
      <c r="A269" s="3">
        <v>-1.8536224406195789</v>
      </c>
      <c r="B269" s="3">
        <v>-3.7213618559807178</v>
      </c>
      <c r="C269" s="3">
        <v>-0.458380690983269</v>
      </c>
      <c r="D269" s="3">
        <v>0.18100235194135753</v>
      </c>
      <c r="E269" s="3">
        <v>-4.0016483323786263</v>
      </c>
    </row>
    <row r="270" spans="1:5" x14ac:dyDescent="0.25">
      <c r="A270" s="3">
        <v>5.2235608377909051</v>
      </c>
      <c r="B270" s="3">
        <v>2.1697259803045046E-3</v>
      </c>
      <c r="C270" s="3">
        <v>0.27814972717294106</v>
      </c>
      <c r="D270" s="3">
        <v>2.8222956805102464</v>
      </c>
      <c r="E270" s="3">
        <v>1.5387622316436396</v>
      </c>
    </row>
    <row r="271" spans="1:5" x14ac:dyDescent="0.25">
      <c r="A271" s="3">
        <v>2.7797657527795545</v>
      </c>
      <c r="B271" s="3">
        <v>3.5784681065546047</v>
      </c>
      <c r="C271" s="3">
        <v>2.2100009298148993</v>
      </c>
      <c r="D271" s="3">
        <v>-0.48506350970667267</v>
      </c>
      <c r="E271" s="3">
        <v>3.5581612479019626</v>
      </c>
    </row>
    <row r="272" spans="1:5" x14ac:dyDescent="0.25">
      <c r="A272" s="3">
        <v>3.2560530349031946</v>
      </c>
      <c r="B272" s="3">
        <v>3.7336772971021839</v>
      </c>
      <c r="C272" s="3">
        <v>2.6441677963046648</v>
      </c>
      <c r="D272" s="3">
        <v>1.643743898870214</v>
      </c>
      <c r="E272" s="3">
        <v>0.16740321766239147</v>
      </c>
    </row>
    <row r="273" spans="1:5" x14ac:dyDescent="0.25">
      <c r="A273" s="3">
        <v>3.3540942176218884</v>
      </c>
      <c r="B273" s="3">
        <v>2.9810672753636953</v>
      </c>
      <c r="C273" s="3">
        <v>3.3735348607291389</v>
      </c>
      <c r="D273" s="3">
        <v>3.3418992785051325</v>
      </c>
      <c r="E273" s="3">
        <v>3.0940672043212851</v>
      </c>
    </row>
    <row r="274" spans="1:5" x14ac:dyDescent="0.25">
      <c r="A274" s="3">
        <v>-1.1227461114182304</v>
      </c>
      <c r="B274" s="3">
        <v>1.1380588291192162</v>
      </c>
      <c r="C274" s="3">
        <v>1.9282868124043622</v>
      </c>
      <c r="D274" s="3">
        <v>-0.61805838696447446</v>
      </c>
      <c r="E274" s="3">
        <v>-4.0681693546306921</v>
      </c>
    </row>
    <row r="275" spans="1:5" x14ac:dyDescent="0.25">
      <c r="A275" s="3">
        <v>2.732050999219108</v>
      </c>
      <c r="B275" s="3">
        <v>2.90977396512538</v>
      </c>
      <c r="C275" s="3">
        <v>1.3132022140243054</v>
      </c>
      <c r="D275" s="3">
        <v>2.4941347161576122</v>
      </c>
      <c r="E275" s="3">
        <v>7.1616074293720366</v>
      </c>
    </row>
    <row r="276" spans="1:5" x14ac:dyDescent="0.25">
      <c r="A276" s="3">
        <v>3.7678360081427873</v>
      </c>
      <c r="B276" s="3">
        <v>3.7675364641792677</v>
      </c>
      <c r="C276" s="3">
        <v>0.54664241683210235</v>
      </c>
      <c r="D276" s="3">
        <v>0.37427943760062143</v>
      </c>
      <c r="E276" s="3">
        <v>3.0388021080489631</v>
      </c>
    </row>
    <row r="277" spans="1:5" x14ac:dyDescent="0.25">
      <c r="A277" s="3">
        <v>-3.7091676217033061</v>
      </c>
      <c r="B277" s="3">
        <v>-1.0647695222293716</v>
      </c>
      <c r="C277" s="3">
        <v>-0.59325764704272166</v>
      </c>
      <c r="D277" s="3">
        <v>-0.79541174241208445</v>
      </c>
      <c r="E277" s="3">
        <v>1.2380721478233114</v>
      </c>
    </row>
    <row r="278" spans="1:5" x14ac:dyDescent="0.25">
      <c r="A278" s="3">
        <v>2.7337984424429465</v>
      </c>
      <c r="B278" s="3">
        <v>4.5381172629286199</v>
      </c>
      <c r="C278" s="3">
        <v>1.1711423385134561</v>
      </c>
      <c r="D278" s="3">
        <v>3.466660596683282</v>
      </c>
      <c r="E278" s="3">
        <v>-1.6755958574689822</v>
      </c>
    </row>
    <row r="279" spans="1:5" x14ac:dyDescent="0.25">
      <c r="A279" s="3">
        <v>6.0993418581604297</v>
      </c>
      <c r="B279" s="3">
        <v>6.6724956873124279</v>
      </c>
      <c r="C279" s="3">
        <v>5.0708873130786492</v>
      </c>
      <c r="D279" s="3">
        <v>1.706944786222232</v>
      </c>
      <c r="E279" s="3">
        <v>-0.72393824960421149</v>
      </c>
    </row>
    <row r="280" spans="1:5" x14ac:dyDescent="0.25">
      <c r="A280" s="3">
        <v>0.12803963734390583</v>
      </c>
      <c r="B280" s="3">
        <v>4.2010961307559063</v>
      </c>
      <c r="C280" s="3">
        <v>1.7252337424915232</v>
      </c>
      <c r="D280" s="3">
        <v>3.1101732418174857</v>
      </c>
      <c r="E280" s="3">
        <v>2.580303364695439</v>
      </c>
    </row>
    <row r="281" spans="1:5" x14ac:dyDescent="0.25">
      <c r="A281" s="3">
        <v>-1.9893351078054382</v>
      </c>
      <c r="B281" s="3">
        <v>3.5766372369472088</v>
      </c>
      <c r="C281" s="3">
        <v>-0.78936926042099675</v>
      </c>
      <c r="D281" s="3">
        <v>6.9779226011824069E-2</v>
      </c>
      <c r="E281" s="3">
        <v>2.0974795883997968</v>
      </c>
    </row>
    <row r="282" spans="1:5" x14ac:dyDescent="0.25">
      <c r="A282" s="3">
        <v>-5.3601358433549162</v>
      </c>
      <c r="B282" s="3">
        <v>-5.5892731370409194</v>
      </c>
      <c r="C282" s="3">
        <v>-2.8521500640424433</v>
      </c>
      <c r="D282" s="3">
        <v>-5.9118835995496495</v>
      </c>
      <c r="E282" s="3">
        <v>-4.0144624580143251</v>
      </c>
    </row>
    <row r="283" spans="1:5" x14ac:dyDescent="0.25">
      <c r="A283" s="3">
        <v>0.12835071946418755</v>
      </c>
      <c r="B283" s="3">
        <v>-0.63470963493945776</v>
      </c>
      <c r="C283" s="3">
        <v>0.47348805710071301</v>
      </c>
      <c r="D283" s="3">
        <v>-0.58129612474611381</v>
      </c>
      <c r="E283" s="3">
        <v>-8.2742961767368648</v>
      </c>
    </row>
    <row r="284" spans="1:5" x14ac:dyDescent="0.25">
      <c r="A284" s="3">
        <v>2.1844751863617113</v>
      </c>
      <c r="B284" s="3">
        <v>5.9887400509610824</v>
      </c>
      <c r="C284" s="3">
        <v>4.6128394600877289</v>
      </c>
      <c r="D284" s="3">
        <v>5.4610534535977742</v>
      </c>
      <c r="E284" s="3">
        <v>4.9147652675436388</v>
      </c>
    </row>
    <row r="285" spans="1:5" x14ac:dyDescent="0.25">
      <c r="A285" s="3">
        <v>0.99848023148200127</v>
      </c>
      <c r="B285" s="3">
        <v>2.9627515038771377</v>
      </c>
      <c r="C285" s="3">
        <v>1.1528633132265205</v>
      </c>
      <c r="D285" s="3">
        <v>3.6094231541266208</v>
      </c>
      <c r="E285" s="3">
        <v>-0.68079946178358086</v>
      </c>
    </row>
    <row r="286" spans="1:5" x14ac:dyDescent="0.25">
      <c r="A286" s="3">
        <v>-3.472578007187114</v>
      </c>
      <c r="B286" s="3">
        <v>-2.7195659234809475</v>
      </c>
      <c r="C286" s="3">
        <v>-4.4290146438570854</v>
      </c>
      <c r="D286" s="3">
        <v>-5.1305212635907669</v>
      </c>
      <c r="E286" s="3">
        <v>-6.1390891301075454</v>
      </c>
    </row>
    <row r="287" spans="1:5" x14ac:dyDescent="0.25">
      <c r="A287" s="3">
        <v>-2.5089551919468529</v>
      </c>
      <c r="B287" s="3">
        <v>4.682229738642139</v>
      </c>
      <c r="C287" s="3">
        <v>0.8413413897306351</v>
      </c>
      <c r="D287" s="3">
        <v>1.9549013784561056</v>
      </c>
      <c r="E287" s="3">
        <v>-2.1328082539625925</v>
      </c>
    </row>
    <row r="288" spans="1:5" x14ac:dyDescent="0.25">
      <c r="A288" s="3">
        <v>-9.1085745879497395</v>
      </c>
      <c r="B288" s="3">
        <v>-13.704336223549014</v>
      </c>
      <c r="C288" s="3">
        <v>-7.7784913533496942</v>
      </c>
      <c r="D288" s="3">
        <v>-9.0278829061565826</v>
      </c>
      <c r="E288" s="3">
        <v>-10.212314766260763</v>
      </c>
    </row>
    <row r="289" spans="1:5" x14ac:dyDescent="0.25">
      <c r="A289" s="3">
        <v>-1.9360075029133506</v>
      </c>
      <c r="B289" s="3">
        <v>-2.3950245649395026</v>
      </c>
      <c r="C289" s="3">
        <v>-1.970155514261474</v>
      </c>
      <c r="D289" s="3">
        <v>0.29065527258589735</v>
      </c>
      <c r="E289" s="3">
        <v>-0.2716669426822636</v>
      </c>
    </row>
    <row r="290" spans="1:5" x14ac:dyDescent="0.25">
      <c r="A290" s="3">
        <v>-3.5947178809320213</v>
      </c>
      <c r="B290" s="3">
        <v>-3.7659740008214553</v>
      </c>
      <c r="C290" s="3">
        <v>-0.96097108851088553</v>
      </c>
      <c r="D290" s="3">
        <v>-2.2701991791409468</v>
      </c>
      <c r="E290" s="3">
        <v>-5.7742282254030544</v>
      </c>
    </row>
    <row r="291" spans="1:5" x14ac:dyDescent="0.25">
      <c r="A291" s="3">
        <v>4.7333879090208022</v>
      </c>
      <c r="B291" s="3">
        <v>6.8937135877693079</v>
      </c>
      <c r="C291" s="3">
        <v>5.945227892698651</v>
      </c>
      <c r="D291" s="3">
        <v>7.0083123580390509</v>
      </c>
      <c r="E291" s="3">
        <v>10.061754815041271</v>
      </c>
    </row>
    <row r="292" spans="1:5" x14ac:dyDescent="0.25">
      <c r="A292" s="3">
        <v>1.3334468497275445</v>
      </c>
      <c r="B292" s="3">
        <v>3.9809102246898633</v>
      </c>
      <c r="C292" s="3">
        <v>1.0414070000528377</v>
      </c>
      <c r="D292" s="3">
        <v>-5.6556498532989469E-2</v>
      </c>
      <c r="E292" s="3">
        <v>1.2407429556269791</v>
      </c>
    </row>
    <row r="293" spans="1:5" x14ac:dyDescent="0.25">
      <c r="A293" s="3">
        <v>-9.1940745656976866</v>
      </c>
      <c r="B293" s="3">
        <v>-6.8941489829978355</v>
      </c>
      <c r="C293" s="3">
        <v>-8.0759669290508231</v>
      </c>
      <c r="D293" s="3">
        <v>-8.7125204326676524</v>
      </c>
      <c r="E293" s="3">
        <v>-4.5377283276362341</v>
      </c>
    </row>
    <row r="294" spans="1:5" x14ac:dyDescent="0.25">
      <c r="A294" s="3">
        <v>1.5029749381741975</v>
      </c>
      <c r="B294" s="3">
        <v>-0.32262585660819176</v>
      </c>
      <c r="C294" s="3">
        <v>-1.400419455463237</v>
      </c>
      <c r="D294" s="3">
        <v>-3.6979018675025377</v>
      </c>
      <c r="E294" s="3">
        <v>-3.0779499358915468</v>
      </c>
    </row>
    <row r="295" spans="1:5" x14ac:dyDescent="0.25">
      <c r="A295" s="3">
        <v>3.8506234405969195</v>
      </c>
      <c r="B295" s="3">
        <v>1.0121166046596026</v>
      </c>
      <c r="C295" s="3">
        <v>1.7539848656381811</v>
      </c>
      <c r="D295" s="3">
        <v>6.9400980108639585</v>
      </c>
      <c r="E295" s="3">
        <v>-2.0784536176703083</v>
      </c>
    </row>
    <row r="296" spans="1:5" x14ac:dyDescent="0.25">
      <c r="A296" s="3">
        <v>-10.375923334205197</v>
      </c>
      <c r="B296" s="3">
        <v>-7.6973080401802507</v>
      </c>
      <c r="C296" s="3">
        <v>-13.798238888119016</v>
      </c>
      <c r="D296" s="3">
        <v>-14.342497992270459</v>
      </c>
      <c r="E296" s="3">
        <v>-9.6056831784757399</v>
      </c>
    </row>
    <row r="297" spans="1:5" x14ac:dyDescent="0.25">
      <c r="A297" s="3">
        <v>-10.507005835284255</v>
      </c>
      <c r="B297" s="3">
        <v>-9.702106411595949</v>
      </c>
      <c r="C297" s="3">
        <v>-16.212156155795522</v>
      </c>
      <c r="D297" s="3">
        <v>-11.920681751154918</v>
      </c>
      <c r="E297" s="3">
        <v>-27.186256039980144</v>
      </c>
    </row>
    <row r="298" spans="1:5" x14ac:dyDescent="0.25">
      <c r="A298" s="3">
        <v>-1.1645619460948051</v>
      </c>
      <c r="B298" s="3">
        <v>-12.518639034813633</v>
      </c>
      <c r="C298" s="3">
        <v>-3.4443388675943694</v>
      </c>
      <c r="D298" s="3">
        <v>1.7299315273480209</v>
      </c>
      <c r="E298" s="3">
        <v>-0.30831286394287077</v>
      </c>
    </row>
    <row r="299" spans="1:5" x14ac:dyDescent="0.25">
      <c r="A299" s="3">
        <v>-5.907498852429371</v>
      </c>
      <c r="B299" s="3">
        <v>-1.7789498395519818</v>
      </c>
      <c r="C299" s="3">
        <v>-2.5268802149944838</v>
      </c>
      <c r="D299" s="3">
        <v>0.96743320124888577</v>
      </c>
      <c r="E299" s="3">
        <v>2.3408901615721347</v>
      </c>
    </row>
    <row r="300" spans="1:5" x14ac:dyDescent="0.25">
      <c r="A300" s="3">
        <v>-3.2568722979881151</v>
      </c>
      <c r="B300" s="3">
        <v>-1.5633253725568923</v>
      </c>
      <c r="C300" s="3">
        <v>-2.3626053380994829</v>
      </c>
      <c r="D300" s="3">
        <v>-3.0452239944607689</v>
      </c>
      <c r="E300" s="3">
        <v>-3.9989559083491244</v>
      </c>
    </row>
    <row r="301" spans="1:5" x14ac:dyDescent="0.25">
      <c r="A301" s="3">
        <v>-10.090377647271685</v>
      </c>
      <c r="B301" s="3">
        <v>-13.134056772940362</v>
      </c>
      <c r="C301" s="3">
        <v>-12.253820091130613</v>
      </c>
      <c r="D301" s="3">
        <v>-8.0178704982783895</v>
      </c>
      <c r="E301" s="3">
        <v>-7.6634857055698875</v>
      </c>
    </row>
  </sheetData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P301"/>
  <sheetViews>
    <sheetView showGridLines="0" zoomScale="90" zoomScaleNormal="90" workbookViewId="0">
      <selection activeCell="H38" sqref="H38"/>
    </sheetView>
  </sheetViews>
  <sheetFormatPr defaultRowHeight="15" x14ac:dyDescent="0.25"/>
  <cols>
    <col min="1" max="1" width="11.42578125" bestFit="1" customWidth="1"/>
    <col min="2" max="2" width="9.140625" bestFit="1" customWidth="1"/>
    <col min="3" max="3" width="12.28515625" bestFit="1" customWidth="1"/>
    <col min="4" max="4" width="11.140625" bestFit="1" customWidth="1"/>
    <col min="5" max="5" width="13.140625" bestFit="1" customWidth="1"/>
    <col min="6" max="6" width="12.7109375" customWidth="1"/>
    <col min="7" max="7" width="13.140625" customWidth="1"/>
    <col min="8" max="8" width="22.5703125" customWidth="1"/>
    <col min="9" max="16" width="12.7109375" customWidth="1"/>
  </cols>
  <sheetData>
    <row r="1" spans="1:16" ht="30" x14ac:dyDescent="0.25">
      <c r="A1" s="19" t="s">
        <v>0</v>
      </c>
      <c r="B1" s="19" t="s">
        <v>1</v>
      </c>
      <c r="C1" s="19" t="s">
        <v>2</v>
      </c>
      <c r="D1" s="19" t="s">
        <v>3</v>
      </c>
      <c r="E1" s="19" t="s">
        <v>4</v>
      </c>
      <c r="I1" s="19" t="str">
        <f ca="1">A1</f>
        <v>Equities Switzerland</v>
      </c>
      <c r="J1" s="19" t="str">
        <f ca="1">B1</f>
        <v>Equities Germany</v>
      </c>
      <c r="K1" s="19" t="str">
        <f ca="1">C1</f>
        <v>Equities USA</v>
      </c>
      <c r="L1" s="19" t="str">
        <f ca="1">D1</f>
        <v>Equities UK</v>
      </c>
      <c r="M1" s="19" t="str">
        <f ca="1">E1</f>
        <v>Equities Japan</v>
      </c>
      <c r="N1" s="12" t="s">
        <v>14</v>
      </c>
    </row>
    <row r="2" spans="1:16" x14ac:dyDescent="0.25">
      <c r="A2" s="2">
        <v>9.0371758600183814</v>
      </c>
      <c r="B2" s="2">
        <v>-1.8452505766407958</v>
      </c>
      <c r="C2" s="2">
        <v>1.0520479185210099</v>
      </c>
      <c r="D2" s="2">
        <v>8.923992204328643</v>
      </c>
      <c r="E2" s="2">
        <v>-0.25072895903002068</v>
      </c>
      <c r="H2" s="1" t="s">
        <v>5</v>
      </c>
      <c r="I2" s="3">
        <f ca="1">AVERAGE(A2:A301)</f>
        <v>1.0149274318397652</v>
      </c>
      <c r="J2" s="3">
        <f ca="1">AVERAGE(B2:B301)</f>
        <v>0.8834617641008411</v>
      </c>
      <c r="K2" s="3">
        <f ca="1">AVERAGE(C2:C301)</f>
        <v>1.0930775127492247</v>
      </c>
      <c r="L2" s="3">
        <f ca="1">AVERAGE(D2:D301)</f>
        <v>1.2515154174496046</v>
      </c>
      <c r="M2" s="3">
        <f ca="1">AVERAGE(E2:E301)</f>
        <v>0.53481897664104816</v>
      </c>
      <c r="N2" s="3">
        <f ca="1">MAX(I2:M2)</f>
        <v>1.2515154174496046</v>
      </c>
    </row>
    <row r="3" spans="1:16" x14ac:dyDescent="0.25">
      <c r="A3" s="2">
        <v>1.8228994513122254</v>
      </c>
      <c r="B3" s="2">
        <v>-2.2188990956348458</v>
      </c>
      <c r="C3" s="2">
        <v>5.729632945389441</v>
      </c>
      <c r="D3" s="2">
        <v>12.820929894100624</v>
      </c>
      <c r="E3" s="2">
        <v>4.756336827919877E-2</v>
      </c>
      <c r="H3" s="1" t="s">
        <v>9</v>
      </c>
      <c r="I3" s="34">
        <f ca="1">VAR(A2:A301)</f>
        <v>29.479205075863025</v>
      </c>
      <c r="J3" s="34">
        <f ca="1">VAR(B2:B301)</f>
        <v>50.699196092398104</v>
      </c>
      <c r="K3" s="34">
        <f ca="1">VAR(C2:C301)</f>
        <v>24.563792689812541</v>
      </c>
      <c r="L3" s="34">
        <f ca="1">VAR(D2:D301)</f>
        <v>30.579482355761883</v>
      </c>
      <c r="M3" s="34">
        <f ca="1">VAR(E2:E301)</f>
        <v>38.53279954718635</v>
      </c>
      <c r="N3" s="34">
        <f ca="1">MIN(I3:M3)</f>
        <v>24.563792689812541</v>
      </c>
    </row>
    <row r="4" spans="1:16" x14ac:dyDescent="0.25">
      <c r="A4" s="2">
        <v>1.4737628020970184</v>
      </c>
      <c r="B4" s="2">
        <v>-0.19881439620140418</v>
      </c>
      <c r="C4" s="2">
        <v>4.0288437901175533E-2</v>
      </c>
      <c r="D4" s="2">
        <v>5.5875099594035866</v>
      </c>
      <c r="E4" s="2">
        <v>2.4958897054453981</v>
      </c>
      <c r="H4" s="1" t="s">
        <v>6</v>
      </c>
      <c r="I4" s="34">
        <f ca="1">STDEV(A2:A301)</f>
        <v>5.4294755801884795</v>
      </c>
      <c r="J4" s="34">
        <f ca="1">STDEV(B2:B301)</f>
        <v>7.120336796275728</v>
      </c>
      <c r="K4" s="34">
        <f ca="1">STDEV(C2:C301)</f>
        <v>4.9561873138343495</v>
      </c>
      <c r="L4" s="34">
        <f ca="1">STDEV(D2:D301)</f>
        <v>5.5298718209160942</v>
      </c>
      <c r="M4" s="34">
        <f ca="1">STDEV(E2:E301)</f>
        <v>6.2074793231380445</v>
      </c>
      <c r="N4" s="34">
        <f ca="1">MIN(I4:M4)</f>
        <v>4.9561873138343495</v>
      </c>
      <c r="O4" s="2"/>
    </row>
    <row r="5" spans="1:16" x14ac:dyDescent="0.25">
      <c r="A5" s="2">
        <v>-3.6564884275180254</v>
      </c>
      <c r="B5" s="2">
        <v>-7.7385599929947899</v>
      </c>
      <c r="C5" s="2">
        <v>1.9105410810699972</v>
      </c>
      <c r="D5" s="2">
        <v>-11.047549919690127</v>
      </c>
      <c r="E5" s="2">
        <v>0.38169414220281073</v>
      </c>
    </row>
    <row r="6" spans="1:16" x14ac:dyDescent="0.25">
      <c r="A6" s="2">
        <v>0.78777414374180099</v>
      </c>
      <c r="B6" s="2">
        <v>3.6049859217311466</v>
      </c>
      <c r="C6" s="2">
        <v>1.1386317664867296</v>
      </c>
      <c r="D6" s="2">
        <v>-4.0084507497414581</v>
      </c>
      <c r="E6" s="2">
        <v>-0.53522780874269804</v>
      </c>
      <c r="H6" s="1" t="s">
        <v>7</v>
      </c>
      <c r="I6" s="2"/>
      <c r="J6" s="2"/>
      <c r="K6" s="2"/>
      <c r="L6" s="2"/>
      <c r="M6" s="2"/>
      <c r="N6" s="1" t="s">
        <v>12</v>
      </c>
    </row>
    <row r="7" spans="1:16" x14ac:dyDescent="0.25">
      <c r="A7" s="2">
        <v>3.9566775110159389</v>
      </c>
      <c r="B7" s="2">
        <v>2.2581186924591954</v>
      </c>
      <c r="C7" s="2">
        <v>4.8303995973563145</v>
      </c>
      <c r="D7" s="2">
        <v>8.642042848305552</v>
      </c>
      <c r="E7" s="2">
        <v>5.3797886926364988</v>
      </c>
      <c r="H7" t="str">
        <f t="array" aca="1" ref="H7:H11" ca="1">TRANSPOSE(I1:M1)</f>
        <v>Equities Switzerland</v>
      </c>
      <c r="I7" s="34">
        <f t="array" aca="1" ref="I7:M11" ca="1">COVARM(A2:E301)</f>
        <v>29.380941058943456</v>
      </c>
      <c r="J7" s="34">
        <f ca="1"/>
        <v>25.948017477217377</v>
      </c>
      <c r="K7" s="34">
        <f ca="1"/>
        <v>17.550915091948184</v>
      </c>
      <c r="L7" s="34">
        <f ca="1"/>
        <v>19.264314198697001</v>
      </c>
      <c r="M7" s="34">
        <f ca="1"/>
        <v>13.37348792947652</v>
      </c>
    </row>
    <row r="8" spans="1:16" x14ac:dyDescent="0.25">
      <c r="A8" s="2">
        <v>-2.6010347095128319</v>
      </c>
      <c r="B8" s="2">
        <v>-4.9801421404682218</v>
      </c>
      <c r="C8" s="2">
        <v>-6.3930863698387688</v>
      </c>
      <c r="D8" s="2">
        <v>-4.9123622489493215</v>
      </c>
      <c r="E8" s="2">
        <v>-1.7636560120740559</v>
      </c>
      <c r="H8" t="str">
        <f ca="1"/>
        <v>Equities Germany</v>
      </c>
      <c r="I8" s="34">
        <f ca="1"/>
        <v>25.948017477217377</v>
      </c>
      <c r="J8" s="34">
        <f ca="1"/>
        <v>50.530198772090088</v>
      </c>
      <c r="K8" s="34">
        <f ca="1"/>
        <v>19.954626798668407</v>
      </c>
      <c r="L8" s="34">
        <f ca="1"/>
        <v>19.270301270912316</v>
      </c>
      <c r="M8" s="34">
        <f ca="1"/>
        <v>14.992366173106156</v>
      </c>
    </row>
    <row r="9" spans="1:16" x14ac:dyDescent="0.25">
      <c r="A9" s="2">
        <v>-0.81180451617101967</v>
      </c>
      <c r="B9" s="2">
        <v>0.85087326466636681</v>
      </c>
      <c r="C9" s="2">
        <v>4.1592430623042738</v>
      </c>
      <c r="D9" s="2">
        <v>-1.0351022270381234</v>
      </c>
      <c r="E9" s="2">
        <v>0.59646607871857771</v>
      </c>
      <c r="H9" t="str">
        <f ca="1"/>
        <v>Equities USA</v>
      </c>
      <c r="I9" s="34">
        <f ca="1"/>
        <v>17.550915091948184</v>
      </c>
      <c r="J9" s="34">
        <f ca="1"/>
        <v>19.954626798668407</v>
      </c>
      <c r="K9" s="34">
        <f ca="1"/>
        <v>24.48191338084651</v>
      </c>
      <c r="L9" s="34">
        <f ca="1"/>
        <v>19.596798502746193</v>
      </c>
      <c r="M9" s="34">
        <f ca="1"/>
        <v>13.485455533120687</v>
      </c>
    </row>
    <row r="10" spans="1:16" x14ac:dyDescent="0.25">
      <c r="A10" s="2">
        <v>0.42890649346388832</v>
      </c>
      <c r="B10" s="2">
        <v>-1.3002087812782486</v>
      </c>
      <c r="C10" s="2">
        <v>1.6405445156441409</v>
      </c>
      <c r="D10" s="2">
        <v>-1.5254669838891541</v>
      </c>
      <c r="E10" s="2">
        <v>2.0981772220914139</v>
      </c>
      <c r="H10" t="str">
        <f ca="1"/>
        <v>Equities UK</v>
      </c>
      <c r="I10" s="34">
        <f ca="1"/>
        <v>19.264314198697001</v>
      </c>
      <c r="J10" s="34">
        <f ca="1"/>
        <v>19.270301270912316</v>
      </c>
      <c r="K10" s="34">
        <f ca="1"/>
        <v>19.596798502746193</v>
      </c>
      <c r="L10" s="34">
        <f ca="1"/>
        <v>30.477550747909358</v>
      </c>
      <c r="M10" s="34">
        <f ca="1"/>
        <v>15.691825601734511</v>
      </c>
    </row>
    <row r="11" spans="1:16" x14ac:dyDescent="0.25">
      <c r="A11" s="2">
        <v>-0.50056752762103818</v>
      </c>
      <c r="B11" s="2">
        <v>2.7191286159674757</v>
      </c>
      <c r="C11" s="2">
        <v>4.9773380675841885</v>
      </c>
      <c r="D11" s="2">
        <v>14.944657158621617</v>
      </c>
      <c r="E11" s="2">
        <v>2.502298400677236</v>
      </c>
      <c r="H11" t="str">
        <f ca="1"/>
        <v>Equities Japan</v>
      </c>
      <c r="I11" s="34">
        <f ca="1"/>
        <v>13.37348792947652</v>
      </c>
      <c r="J11" s="34">
        <f ca="1"/>
        <v>14.992366173106156</v>
      </c>
      <c r="K11" s="34">
        <f ca="1"/>
        <v>13.485455533120687</v>
      </c>
      <c r="L11" s="34">
        <f ca="1"/>
        <v>15.691825601734511</v>
      </c>
      <c r="M11" s="34">
        <f ca="1"/>
        <v>38.404356882029042</v>
      </c>
    </row>
    <row r="12" spans="1:16" x14ac:dyDescent="0.25">
      <c r="A12" s="2">
        <v>-8.1084630030858094</v>
      </c>
      <c r="B12" s="2">
        <v>-6.0565544797909876</v>
      </c>
      <c r="C12" s="2">
        <v>-8.8365851140703988</v>
      </c>
      <c r="D12" s="2">
        <v>-8.6923476939077613</v>
      </c>
      <c r="E12" s="2">
        <v>-2.9047669792554665</v>
      </c>
    </row>
    <row r="13" spans="1:16" ht="15.75" thickBot="1" x14ac:dyDescent="0.3">
      <c r="A13" s="2">
        <v>3.6135324378393756</v>
      </c>
      <c r="B13" s="2">
        <v>3.6333000703430511</v>
      </c>
      <c r="C13" s="2">
        <v>4.3496506291340005</v>
      </c>
      <c r="D13" s="2">
        <v>3.6302302796651378</v>
      </c>
      <c r="E13" s="2">
        <v>3.3047672181725538</v>
      </c>
    </row>
    <row r="14" spans="1:16" ht="15.75" thickBot="1" x14ac:dyDescent="0.3">
      <c r="A14" s="2">
        <v>0.34392400917130767</v>
      </c>
      <c r="B14" s="2">
        <v>2.8271507498026893</v>
      </c>
      <c r="C14" s="2">
        <v>4.8232763298160837</v>
      </c>
      <c r="D14" s="2">
        <v>-1.6756276878259548</v>
      </c>
      <c r="E14" s="2">
        <v>-0.37538623170655877</v>
      </c>
      <c r="H14" s="1" t="s">
        <v>8</v>
      </c>
      <c r="I14" s="31">
        <v>0.19362291034484633</v>
      </c>
      <c r="J14" s="32">
        <v>0</v>
      </c>
      <c r="K14" s="32">
        <v>0.44946143507975717</v>
      </c>
      <c r="L14" s="32">
        <v>0.34143773572816705</v>
      </c>
      <c r="M14" s="33">
        <v>1.5477918847229533E-2</v>
      </c>
      <c r="N14" s="4">
        <f ca="1">SUM(I14:M14)</f>
        <v>1</v>
      </c>
      <c r="O14" s="7" t="s">
        <v>11</v>
      </c>
      <c r="P14" s="8">
        <v>1</v>
      </c>
    </row>
    <row r="15" spans="1:16" ht="15.75" thickBot="1" x14ac:dyDescent="0.3">
      <c r="A15" s="2">
        <v>3.3518593284255203</v>
      </c>
      <c r="B15" s="2">
        <v>3.1830951320980572</v>
      </c>
      <c r="C15" s="2">
        <v>3.2518740903582568</v>
      </c>
      <c r="D15" s="2">
        <v>11.330083919309267</v>
      </c>
      <c r="E15" s="2">
        <v>1.0447924782050977</v>
      </c>
      <c r="H15" s="3"/>
      <c r="I15" s="2"/>
      <c r="J15" s="2"/>
      <c r="K15" s="2"/>
      <c r="L15" s="2"/>
      <c r="M15" s="2"/>
      <c r="P15" s="12" t="s">
        <v>21</v>
      </c>
    </row>
    <row r="16" spans="1:16" ht="15.75" thickBot="1" x14ac:dyDescent="0.3">
      <c r="A16" s="2">
        <v>3.0977018659352562</v>
      </c>
      <c r="B16" s="2">
        <v>1.8917049148621252</v>
      </c>
      <c r="C16" s="2">
        <v>7.3823524207769813</v>
      </c>
      <c r="D16" s="2">
        <v>4.9707191708680174</v>
      </c>
      <c r="E16" s="2">
        <v>1.7282017906457343</v>
      </c>
      <c r="H16" s="3"/>
      <c r="I16" s="2"/>
      <c r="J16" s="2"/>
      <c r="K16" s="2"/>
      <c r="L16" s="2"/>
      <c r="M16" s="2"/>
      <c r="P16" s="11">
        <v>5.1183369352043914E-2</v>
      </c>
    </row>
    <row r="17" spans="1:16" ht="15.75" thickBot="1" x14ac:dyDescent="0.3">
      <c r="A17" s="2">
        <v>-0.27329452927234216</v>
      </c>
      <c r="B17" s="2">
        <v>1.8303010834331142</v>
      </c>
      <c r="C17" s="2">
        <v>2.522656121272048</v>
      </c>
      <c r="D17" s="2">
        <v>3.0994762296562368</v>
      </c>
      <c r="E17" s="2">
        <v>2.5801078383059339</v>
      </c>
      <c r="I17" t="s">
        <v>16</v>
      </c>
      <c r="J17" t="s">
        <v>15</v>
      </c>
      <c r="K17" s="2" t="s">
        <v>17</v>
      </c>
      <c r="L17" s="2" t="s">
        <v>18</v>
      </c>
      <c r="M17" s="10" t="s">
        <v>19</v>
      </c>
    </row>
    <row r="18" spans="1:16" ht="15.75" thickBot="1" x14ac:dyDescent="0.3">
      <c r="A18" s="2">
        <v>0.87790918571093546</v>
      </c>
      <c r="B18" s="2">
        <v>0.67967220871957712</v>
      </c>
      <c r="C18" s="2">
        <v>13.225438356824856</v>
      </c>
      <c r="D18" s="2">
        <v>8.3240065790114137</v>
      </c>
      <c r="E18" s="2">
        <v>1.8735566955280689</v>
      </c>
      <c r="H18" s="5" t="s">
        <v>10</v>
      </c>
      <c r="I18" s="51">
        <f t="array" aca="1" ref="I18" ca="1">MMULT(MMULT(I14:M14,I7:M11),TRANSPOSE(I14:M14))</f>
        <v>21.659798549737918</v>
      </c>
      <c r="J18" s="34">
        <f ca="1">MinVar!I17</f>
        <v>19.648430932276327</v>
      </c>
      <c r="K18" s="34">
        <f ca="1">I18-J18</f>
        <v>2.0113676174615911</v>
      </c>
      <c r="L18" s="14">
        <v>0.5</v>
      </c>
      <c r="M18" s="13">
        <f ca="1">K18/J18*L18</f>
        <v>5.118392467048178E-2</v>
      </c>
      <c r="N18" s="7" t="s">
        <v>20</v>
      </c>
      <c r="O18" s="13">
        <f ca="1">P16</f>
        <v>5.1183369352043914E-2</v>
      </c>
    </row>
    <row r="19" spans="1:16" x14ac:dyDescent="0.25">
      <c r="A19" s="2">
        <v>0.95120563511206724</v>
      </c>
      <c r="B19" s="2">
        <v>-2.1235232540750708</v>
      </c>
      <c r="C19" s="2">
        <v>-3.4766974213390043</v>
      </c>
      <c r="D19" s="2">
        <v>-5.502347924003943</v>
      </c>
      <c r="E19" s="2">
        <v>0.60806953778443207</v>
      </c>
      <c r="H19" s="5" t="s">
        <v>13</v>
      </c>
      <c r="I19" s="27">
        <f ca="1">SUMPRODUCT(I2:M2,I14:M14)</f>
        <v>1.1234018657566072</v>
      </c>
      <c r="J19" s="3">
        <f ca="1">N2</f>
        <v>1.2515154174496046</v>
      </c>
      <c r="K19" s="3">
        <f ca="1">J19-I19</f>
        <v>0.12811355169299743</v>
      </c>
      <c r="L19" s="9">
        <f ca="1">1-L18</f>
        <v>0.5</v>
      </c>
      <c r="M19" s="13">
        <f ca="1">K19/J19*L19</f>
        <v>5.1183369340376601E-2</v>
      </c>
      <c r="N19" s="7" t="s">
        <v>20</v>
      </c>
      <c r="O19" s="13">
        <f ca="1">P16</f>
        <v>5.1183369352043914E-2</v>
      </c>
    </row>
    <row r="20" spans="1:16" x14ac:dyDescent="0.25">
      <c r="A20" s="2">
        <v>-0.98510827459198547</v>
      </c>
      <c r="B20" s="2">
        <v>-2.7065371603186721</v>
      </c>
      <c r="C20" s="2">
        <v>-1.6651797531396846</v>
      </c>
      <c r="D20" s="2">
        <v>4.2384618066229613</v>
      </c>
      <c r="E20" s="2">
        <v>3.1927373995416923</v>
      </c>
    </row>
    <row r="21" spans="1:16" x14ac:dyDescent="0.25">
      <c r="A21" s="2">
        <v>-0.35675632340561442</v>
      </c>
      <c r="B21" s="2">
        <v>2.9156851747990284</v>
      </c>
      <c r="C21" s="2">
        <v>3.3398968121432753</v>
      </c>
      <c r="D21" s="2">
        <v>-7.6311973074939685E-2</v>
      </c>
      <c r="E21" s="2">
        <v>7.2193180973023452</v>
      </c>
      <c r="H21" t="s">
        <v>25</v>
      </c>
    </row>
    <row r="22" spans="1:16" x14ac:dyDescent="0.25">
      <c r="A22" s="2">
        <v>-5.6352079813339806</v>
      </c>
      <c r="B22" s="2">
        <v>2.8883043655176381</v>
      </c>
      <c r="C22" s="2">
        <v>-2.1176527338945101</v>
      </c>
      <c r="D22" s="2">
        <v>2.6078463588732403</v>
      </c>
      <c r="E22" s="2">
        <v>10.733175607882982</v>
      </c>
    </row>
    <row r="23" spans="1:16" x14ac:dyDescent="0.25">
      <c r="A23" s="2">
        <v>2.6951213273536494</v>
      </c>
      <c r="B23" s="2">
        <v>6.9831001631367489</v>
      </c>
      <c r="C23" s="2">
        <v>-0.19564842421703244</v>
      </c>
      <c r="D23" s="2">
        <v>2.1714956721317247</v>
      </c>
      <c r="E23" s="2">
        <v>4.6474115172938308</v>
      </c>
      <c r="H23" s="36" t="s">
        <v>22</v>
      </c>
      <c r="I23" s="45" t="str">
        <f ca="1">P15</f>
        <v>Q</v>
      </c>
      <c r="J23" s="49" t="str">
        <f ca="1">H18</f>
        <v>Portfolio Variance</v>
      </c>
      <c r="K23" s="49" t="str">
        <f ca="1">H19</f>
        <v>Portfolio Return</v>
      </c>
      <c r="L23" s="45" t="str">
        <f ca="1">I1</f>
        <v>Equities Switzerland</v>
      </c>
      <c r="M23" s="45" t="str">
        <f ca="1">J1</f>
        <v>Equities Germany</v>
      </c>
      <c r="N23" s="45" t="str">
        <f ca="1">K1</f>
        <v>Equities USA</v>
      </c>
      <c r="O23" s="45" t="str">
        <f ca="1">L1</f>
        <v>Equities UK</v>
      </c>
      <c r="P23" s="47" t="str">
        <f ca="1">M1</f>
        <v>Equities Japan</v>
      </c>
    </row>
    <row r="24" spans="1:16" ht="15" customHeight="1" x14ac:dyDescent="0.25">
      <c r="A24" s="2">
        <v>0.27979111144321012</v>
      </c>
      <c r="B24" s="2">
        <v>0.99216434413514976</v>
      </c>
      <c r="C24" s="2">
        <v>0.74018111970293765</v>
      </c>
      <c r="D24" s="2">
        <v>0.95601295580400281</v>
      </c>
      <c r="E24" s="2">
        <v>1.909127253058774</v>
      </c>
      <c r="H24" s="44" t="str">
        <f ca="1">L17&amp;" "&amp;H18</f>
        <v>Weight Portfolio Variance</v>
      </c>
      <c r="I24" s="46"/>
      <c r="J24" s="50"/>
      <c r="K24" s="50"/>
      <c r="L24" s="46"/>
      <c r="M24" s="46"/>
      <c r="N24" s="46"/>
      <c r="O24" s="46"/>
      <c r="P24" s="48"/>
    </row>
    <row r="25" spans="1:16" x14ac:dyDescent="0.25">
      <c r="A25" s="2">
        <v>-2.6799907272486498</v>
      </c>
      <c r="B25" s="2">
        <v>-1.543238120138583</v>
      </c>
      <c r="C25" s="2">
        <v>-5.7029561262051649</v>
      </c>
      <c r="D25" s="2">
        <v>5.378755210579266</v>
      </c>
      <c r="E25" s="2">
        <v>-0.23663524816282225</v>
      </c>
      <c r="G25" t="s">
        <v>16</v>
      </c>
      <c r="H25" s="37">
        <f ca="1">L18</f>
        <v>0.5</v>
      </c>
      <c r="I25" s="15">
        <f ca="1">P16</f>
        <v>5.1183369352043914E-2</v>
      </c>
      <c r="J25" s="9">
        <f ca="1">I18</f>
        <v>21.659798549737918</v>
      </c>
      <c r="K25" s="17">
        <f ca="1">I19</f>
        <v>1.1234018657566072</v>
      </c>
      <c r="L25" s="15">
        <f ca="1">I14</f>
        <v>0.19362291034484633</v>
      </c>
      <c r="M25" s="15">
        <f ca="1">J14</f>
        <v>0</v>
      </c>
      <c r="N25" s="15">
        <f ca="1">K14</f>
        <v>0.44946143507975717</v>
      </c>
      <c r="O25" s="15">
        <f ca="1">L14</f>
        <v>0.34143773572816705</v>
      </c>
      <c r="P25" s="38">
        <f ca="1">M14</f>
        <v>1.5477918847229533E-2</v>
      </c>
    </row>
    <row r="26" spans="1:16" x14ac:dyDescent="0.25">
      <c r="A26" s="2">
        <v>-7.2158370694275487</v>
      </c>
      <c r="B26" s="2">
        <v>-4.921363084133854</v>
      </c>
      <c r="C26" s="2">
        <v>-4.69638531671362</v>
      </c>
      <c r="D26" s="2">
        <v>-16.051669576604102</v>
      </c>
      <c r="E26" s="2">
        <v>-8.3916686818559327</v>
      </c>
      <c r="H26" s="37">
        <v>0.01</v>
      </c>
      <c r="I26" s="15">
        <v>5.0765283673300608E-3</v>
      </c>
      <c r="J26" s="9">
        <v>29.621967166541573</v>
      </c>
      <c r="K26" s="18">
        <v>1.2450978886415847</v>
      </c>
      <c r="L26" s="15">
        <v>0</v>
      </c>
      <c r="M26" s="15">
        <v>0</v>
      </c>
      <c r="N26" s="15">
        <v>4.0505009329402243E-2</v>
      </c>
      <c r="O26" s="15">
        <v>0.95949499067059774</v>
      </c>
      <c r="P26" s="38">
        <v>0</v>
      </c>
    </row>
    <row r="27" spans="1:16" x14ac:dyDescent="0.25">
      <c r="A27" s="2">
        <v>0.61431256590106975</v>
      </c>
      <c r="B27" s="2">
        <v>1.2016813763825296</v>
      </c>
      <c r="C27" s="2">
        <v>4.9692659274490385</v>
      </c>
      <c r="D27" s="2">
        <v>3.8999613286060999</v>
      </c>
      <c r="E27" s="2">
        <v>0.11041023945937881</v>
      </c>
      <c r="H27" s="37">
        <v>0.1</v>
      </c>
      <c r="I27" s="15">
        <v>3.0950058715124511E-2</v>
      </c>
      <c r="J27" s="9">
        <v>25.729572560180642</v>
      </c>
      <c r="K27" s="18">
        <v>1.2084771111688049</v>
      </c>
      <c r="L27" s="15">
        <v>0</v>
      </c>
      <c r="M27" s="15">
        <v>0</v>
      </c>
      <c r="N27" s="15">
        <v>0.27164147595986604</v>
      </c>
      <c r="O27" s="15">
        <v>0.72835852404013401</v>
      </c>
      <c r="P27" s="38">
        <v>0</v>
      </c>
    </row>
    <row r="28" spans="1:16" x14ac:dyDescent="0.25">
      <c r="A28" s="2">
        <v>4.895429899302866</v>
      </c>
      <c r="B28" s="2">
        <v>2.765339423335643</v>
      </c>
      <c r="C28" s="2">
        <v>4.3822548296251638</v>
      </c>
      <c r="D28" s="2">
        <v>12.075803354163943</v>
      </c>
      <c r="E28" s="2">
        <v>0.51085802595103935</v>
      </c>
      <c r="H28" s="37">
        <f t="shared" ref="H28:H36" ca="1" si="0">H27+0.1</f>
        <v>0.2</v>
      </c>
      <c r="I28" s="15">
        <v>4.3881655031323109E-2</v>
      </c>
      <c r="J28" s="9">
        <v>23.959490779713136</v>
      </c>
      <c r="K28" s="18">
        <v>1.1828672076830145</v>
      </c>
      <c r="L28" s="15">
        <v>4.1383681637039947E-2</v>
      </c>
      <c r="M28" s="15">
        <v>0</v>
      </c>
      <c r="N28" s="15">
        <v>0.37148514430475749</v>
      </c>
      <c r="O28" s="15">
        <v>0.58713117405820259</v>
      </c>
      <c r="P28" s="38">
        <v>0</v>
      </c>
    </row>
    <row r="29" spans="1:16" x14ac:dyDescent="0.25">
      <c r="A29" s="2">
        <v>-1.2987915591579924</v>
      </c>
      <c r="B29" s="2">
        <v>-1.8020074524153193</v>
      </c>
      <c r="C29" s="2">
        <v>-3.7447982000278741</v>
      </c>
      <c r="D29" s="2">
        <v>4.7640310215973409</v>
      </c>
      <c r="E29" s="2">
        <v>6.3849784536348171</v>
      </c>
      <c r="H29" s="37">
        <f t="shared" ca="1" si="0"/>
        <v>0.30000000000000004</v>
      </c>
      <c r="I29" s="15">
        <v>4.9792235999158697E-2</v>
      </c>
      <c r="J29" s="9">
        <v>22.909606076809343</v>
      </c>
      <c r="K29" s="18">
        <v>1.1624929159438817</v>
      </c>
      <c r="L29" s="15">
        <v>0.10503044759092829</v>
      </c>
      <c r="M29" s="15">
        <v>0</v>
      </c>
      <c r="N29" s="15">
        <v>0.40503918304046749</v>
      </c>
      <c r="O29" s="15">
        <v>0.48993036936860418</v>
      </c>
      <c r="P29" s="38">
        <v>0</v>
      </c>
    </row>
    <row r="30" spans="1:16" x14ac:dyDescent="0.25">
      <c r="A30" s="2">
        <v>-0.21740661197762037</v>
      </c>
      <c r="B30" s="2">
        <v>1.8931909394848974</v>
      </c>
      <c r="C30" s="2">
        <v>-5.1611168284471605</v>
      </c>
      <c r="D30" s="2">
        <v>-3.9602879046994852</v>
      </c>
      <c r="E30" s="2">
        <v>-4.5211066461382758</v>
      </c>
      <c r="H30" s="37">
        <f t="shared" ca="1" si="0"/>
        <v>0.4</v>
      </c>
      <c r="I30" s="15">
        <v>5.1757180871636985E-2</v>
      </c>
      <c r="J30" s="9">
        <v>22.190838358145029</v>
      </c>
      <c r="K30" s="18">
        <v>1.1435572343854226</v>
      </c>
      <c r="L30" s="15">
        <v>0.16431814878087</v>
      </c>
      <c r="M30" s="15">
        <v>0</v>
      </c>
      <c r="N30" s="15">
        <v>0.43602244914573363</v>
      </c>
      <c r="O30" s="15">
        <v>0.3996594020733964</v>
      </c>
      <c r="P30" s="38">
        <v>0</v>
      </c>
    </row>
    <row r="31" spans="1:16" x14ac:dyDescent="0.25">
      <c r="A31" s="2">
        <v>1.4078419265205344</v>
      </c>
      <c r="B31" s="2">
        <v>-3.0195262698777085E-2</v>
      </c>
      <c r="C31" s="2">
        <v>-0.53983608613385159</v>
      </c>
      <c r="D31" s="2">
        <v>3.996838032368554</v>
      </c>
      <c r="E31" s="2">
        <v>-5.4702624522191492</v>
      </c>
      <c r="H31" s="37">
        <f t="shared" ca="1" si="0"/>
        <v>0.5</v>
      </c>
      <c r="I31" s="15">
        <v>5.1183139210679574E-2</v>
      </c>
      <c r="J31" s="9">
        <v>21.659803612554629</v>
      </c>
      <c r="K31" s="18">
        <v>1.1234024418524631</v>
      </c>
      <c r="L31" s="15">
        <v>0.19356911269637209</v>
      </c>
      <c r="M31" s="15">
        <v>0</v>
      </c>
      <c r="N31" s="15">
        <v>0.44902184297154552</v>
      </c>
      <c r="O31" s="15">
        <v>0.34181699092338808</v>
      </c>
      <c r="P31" s="38">
        <v>1.5592053408694363E-2</v>
      </c>
    </row>
    <row r="32" spans="1:16" x14ac:dyDescent="0.25">
      <c r="A32" s="2">
        <v>0.83506580492515547</v>
      </c>
      <c r="B32" s="2">
        <v>-0.41749169379468676</v>
      </c>
      <c r="C32" s="2">
        <v>4.389826698611289</v>
      </c>
      <c r="D32" s="2">
        <v>1.5439597807678425</v>
      </c>
      <c r="E32" s="2">
        <v>3.2408738313871353</v>
      </c>
      <c r="H32" s="37">
        <f t="shared" ca="1" si="0"/>
        <v>0.6</v>
      </c>
      <c r="I32" s="15">
        <v>4.7445972071162287E-2</v>
      </c>
      <c r="J32" s="9">
        <v>21.202171656726762</v>
      </c>
      <c r="K32" s="18">
        <v>1.103067003578742</v>
      </c>
      <c r="L32" s="15">
        <v>0.2006765444328639</v>
      </c>
      <c r="M32" s="15">
        <v>0</v>
      </c>
      <c r="N32" s="15">
        <v>0.44441749526861352</v>
      </c>
      <c r="O32" s="15">
        <v>0.31226841396534577</v>
      </c>
      <c r="P32" s="38">
        <v>4.2637546333176873E-2</v>
      </c>
    </row>
    <row r="33" spans="1:16" x14ac:dyDescent="0.25">
      <c r="A33" s="2">
        <v>-1.0524408864657817</v>
      </c>
      <c r="B33" s="2">
        <v>-1.2961452653289578</v>
      </c>
      <c r="C33" s="2">
        <v>-3.3129208113189672</v>
      </c>
      <c r="D33" s="2">
        <v>3.8856524502671261</v>
      </c>
      <c r="E33" s="2">
        <v>-0.21194534065438231</v>
      </c>
      <c r="H33" s="37">
        <f t="shared" ca="1" si="0"/>
        <v>0.7</v>
      </c>
      <c r="I33" s="15">
        <v>4.0646654195694604E-2</v>
      </c>
      <c r="J33" s="9">
        <v>20.789376031097095</v>
      </c>
      <c r="K33" s="18">
        <v>1.0819490361649933</v>
      </c>
      <c r="L33" s="15">
        <v>0.20794259930856268</v>
      </c>
      <c r="M33" s="15">
        <v>0</v>
      </c>
      <c r="N33" s="15">
        <v>0.44003827603023626</v>
      </c>
      <c r="O33" s="15">
        <v>0.28134636103985033</v>
      </c>
      <c r="P33" s="38">
        <v>7.067276362135079E-2</v>
      </c>
    </row>
    <row r="34" spans="1:16" x14ac:dyDescent="0.25">
      <c r="A34" s="2">
        <v>-4.0793018369499849</v>
      </c>
      <c r="B34" s="2">
        <v>-0.49986342529363514</v>
      </c>
      <c r="C34" s="2">
        <v>-1.2525937272539689</v>
      </c>
      <c r="D34" s="2">
        <v>-3.6295786897514191</v>
      </c>
      <c r="E34" s="2">
        <v>-1.9641395214759285</v>
      </c>
      <c r="H34" s="37">
        <f t="shared" ca="1" si="0"/>
        <v>0.79999999999999993</v>
      </c>
      <c r="I34" s="15">
        <v>3.0840861683589828E-2</v>
      </c>
      <c r="J34" s="9">
        <v>20.405914356690815</v>
      </c>
      <c r="K34" s="18">
        <v>1.0585263480121703</v>
      </c>
      <c r="L34" s="15">
        <v>0.2152839225272985</v>
      </c>
      <c r="M34" s="15">
        <v>0</v>
      </c>
      <c r="N34" s="15">
        <v>0.43509284929935887</v>
      </c>
      <c r="O34" s="15">
        <v>0.24759916845160729</v>
      </c>
      <c r="P34" s="38">
        <v>0.10202405972173538</v>
      </c>
    </row>
    <row r="35" spans="1:16" x14ac:dyDescent="0.25">
      <c r="A35" s="2">
        <v>0.14724327861699654</v>
      </c>
      <c r="B35" s="2">
        <v>0.62865456941279596</v>
      </c>
      <c r="C35" s="2">
        <v>-1.7811564865340608</v>
      </c>
      <c r="D35" s="2">
        <v>3.7416179572476462</v>
      </c>
      <c r="E35" s="2">
        <v>-2.7600045164993379</v>
      </c>
      <c r="H35" s="37">
        <f t="shared" ca="1" si="0"/>
        <v>0.89999999999999991</v>
      </c>
      <c r="I35" s="15">
        <v>1.7762998941952331E-2</v>
      </c>
      <c r="J35" s="9">
        <v>20.03623186555172</v>
      </c>
      <c r="K35" s="18">
        <v>1.0292087471007887</v>
      </c>
      <c r="L35" s="15">
        <v>0.22329628874894217</v>
      </c>
      <c r="M35" s="15">
        <v>0</v>
      </c>
      <c r="N35" s="15">
        <v>0.42974012995620237</v>
      </c>
      <c r="O35" s="15">
        <v>0.20549458595669606</v>
      </c>
      <c r="P35" s="38">
        <v>0.14146899533815946</v>
      </c>
    </row>
    <row r="36" spans="1:16" x14ac:dyDescent="0.25">
      <c r="A36" s="2">
        <v>2.7744500108908756</v>
      </c>
      <c r="B36" s="2">
        <v>-0.4692274116106423</v>
      </c>
      <c r="C36" s="2">
        <v>12.311121565464788</v>
      </c>
      <c r="D36" s="2">
        <v>3.1155641649428203</v>
      </c>
      <c r="E36" s="2">
        <v>1.9558512246749271</v>
      </c>
      <c r="G36" t="s">
        <v>24</v>
      </c>
      <c r="H36" s="39">
        <f t="shared" ca="1" si="0"/>
        <v>0.99999999999999989</v>
      </c>
      <c r="I36" s="40">
        <v>2.6078423275011087E-14</v>
      </c>
      <c r="J36" s="41">
        <v>19.648430932276838</v>
      </c>
      <c r="K36" s="42">
        <v>0.95547189796810872</v>
      </c>
      <c r="L36" s="40">
        <v>0.24771221884025157</v>
      </c>
      <c r="M36" s="40">
        <v>0</v>
      </c>
      <c r="N36" s="40">
        <v>0.41421172245963395</v>
      </c>
      <c r="O36" s="40">
        <v>9.8349812798202124E-2</v>
      </c>
      <c r="P36" s="43">
        <v>0.23972624590191241</v>
      </c>
    </row>
    <row r="37" spans="1:16" x14ac:dyDescent="0.25">
      <c r="A37" s="2">
        <v>7.8293197693414935</v>
      </c>
      <c r="B37" s="2">
        <v>6.4548843328582306</v>
      </c>
      <c r="C37" s="2">
        <v>12.623668568237123</v>
      </c>
      <c r="D37" s="2">
        <v>9.3301353266920692</v>
      </c>
      <c r="E37" s="2">
        <v>2.95544061120866</v>
      </c>
    </row>
    <row r="38" spans="1:16" x14ac:dyDescent="0.25">
      <c r="A38" s="2">
        <v>3.8744707510625997</v>
      </c>
      <c r="B38" s="2">
        <v>3.7237055536960253</v>
      </c>
      <c r="C38" s="2">
        <v>3.8915036904861999</v>
      </c>
      <c r="D38" s="2">
        <v>0.97779711887446341</v>
      </c>
      <c r="E38" s="2">
        <v>7.7653278514735549</v>
      </c>
    </row>
    <row r="39" spans="1:16" x14ac:dyDescent="0.25">
      <c r="A39" s="2">
        <v>4.6413535375833623</v>
      </c>
      <c r="B39" s="2">
        <v>6.2454620487647601</v>
      </c>
      <c r="C39" s="2">
        <v>1.8104330037504341</v>
      </c>
      <c r="D39" s="2">
        <v>1.4877031791130657</v>
      </c>
      <c r="E39" s="2">
        <v>3.771938641306563</v>
      </c>
    </row>
    <row r="40" spans="1:16" x14ac:dyDescent="0.25">
      <c r="A40" s="2">
        <v>6.1224336033151294</v>
      </c>
      <c r="B40" s="2">
        <v>5.5033439443941452</v>
      </c>
      <c r="C40" s="2">
        <v>6.2359766920062922</v>
      </c>
      <c r="D40" s="2">
        <v>5.4654222136612685</v>
      </c>
      <c r="E40" s="2">
        <v>-1.4139132692700016</v>
      </c>
    </row>
    <row r="41" spans="1:16" x14ac:dyDescent="0.25">
      <c r="A41" s="2">
        <v>4.8782046275851849</v>
      </c>
      <c r="B41" s="2">
        <v>19.569056674804987</v>
      </c>
      <c r="C41" s="2">
        <v>11.627164726047642</v>
      </c>
      <c r="D41" s="2">
        <v>12.644269783717244</v>
      </c>
      <c r="E41" s="2">
        <v>6.1333060193817461</v>
      </c>
    </row>
    <row r="42" spans="1:16" x14ac:dyDescent="0.25">
      <c r="A42" s="2">
        <v>-2.6346786531457709</v>
      </c>
      <c r="B42" s="2">
        <v>-4.0023336142313441</v>
      </c>
      <c r="C42" s="2">
        <v>-1.5280998824538579</v>
      </c>
      <c r="D42" s="2">
        <v>0.24836663927510658</v>
      </c>
      <c r="E42" s="2">
        <v>0.92647849541783267</v>
      </c>
    </row>
    <row r="43" spans="1:16" x14ac:dyDescent="0.25">
      <c r="A43" s="2">
        <v>5.976500034763264</v>
      </c>
      <c r="B43" s="2">
        <v>8.2805189794048157</v>
      </c>
      <c r="C43" s="2">
        <v>0.54379776601998675</v>
      </c>
      <c r="D43" s="2">
        <v>2.4306461751094308</v>
      </c>
      <c r="E43" s="2">
        <v>5.1995090089826395</v>
      </c>
    </row>
    <row r="44" spans="1:16" x14ac:dyDescent="0.25">
      <c r="A44" s="2">
        <v>-2.2450238148347559</v>
      </c>
      <c r="B44" s="2">
        <v>-5.5180892480111199</v>
      </c>
      <c r="C44" s="2">
        <v>2.0611021780441479</v>
      </c>
      <c r="D44" s="2">
        <v>1.1987748488747092</v>
      </c>
      <c r="E44" s="2">
        <v>0.91916368162619466</v>
      </c>
    </row>
    <row r="45" spans="1:16" x14ac:dyDescent="0.25">
      <c r="A45" s="2">
        <v>0.43958551448283351</v>
      </c>
      <c r="B45" s="2">
        <v>2.7570600160294112</v>
      </c>
      <c r="C45" s="2">
        <v>1.3180233492395164</v>
      </c>
      <c r="D45" s="2">
        <v>-0.30212765957445936</v>
      </c>
      <c r="E45" s="2">
        <v>3.0033159814128472</v>
      </c>
    </row>
    <row r="46" spans="1:16" x14ac:dyDescent="0.25">
      <c r="A46" s="2">
        <v>4.0057731242357661</v>
      </c>
      <c r="B46" s="2">
        <v>11.556813698051915</v>
      </c>
      <c r="C46" s="2">
        <v>-1.1081421207785263</v>
      </c>
      <c r="D46" s="2">
        <v>-1.5495397441916854</v>
      </c>
      <c r="E46" s="2">
        <v>-1.2000977923554259</v>
      </c>
    </row>
    <row r="47" spans="1:16" x14ac:dyDescent="0.25">
      <c r="A47" s="2">
        <v>4.6860344096521844</v>
      </c>
      <c r="B47" s="2">
        <v>2.6313300184661941</v>
      </c>
      <c r="C47" s="2">
        <v>2.1710404747211589</v>
      </c>
      <c r="D47" s="2">
        <v>6.3612863834330238</v>
      </c>
      <c r="E47" s="2">
        <v>0.39718520498659238</v>
      </c>
    </row>
    <row r="48" spans="1:16" x14ac:dyDescent="0.25">
      <c r="A48" s="2">
        <v>6.1510420502246088</v>
      </c>
      <c r="B48" s="2">
        <v>0.38349796629867244</v>
      </c>
      <c r="C48" s="2">
        <v>-0.52789986623350726</v>
      </c>
      <c r="D48" s="2">
        <v>1.4380143954293296</v>
      </c>
      <c r="E48" s="2">
        <v>7.5042502856011994</v>
      </c>
    </row>
    <row r="49" spans="1:5" x14ac:dyDescent="0.25">
      <c r="A49" s="2">
        <v>-2.6137329378913314</v>
      </c>
      <c r="B49" s="2">
        <v>-2.2031760225467281</v>
      </c>
      <c r="C49" s="2">
        <v>-5.1732241055776962</v>
      </c>
      <c r="D49" s="2">
        <v>5.2104174863753956</v>
      </c>
      <c r="E49" s="2">
        <v>5.171054811507517</v>
      </c>
    </row>
    <row r="50" spans="1:5" x14ac:dyDescent="0.25">
      <c r="A50" s="2">
        <v>0.5497180172158006</v>
      </c>
      <c r="B50" s="2">
        <v>-0.45186808880616181</v>
      </c>
      <c r="C50" s="2">
        <v>1.871782534612072</v>
      </c>
      <c r="D50" s="2">
        <v>7.2894801753702012</v>
      </c>
      <c r="E50" s="2">
        <v>13.31881099263752</v>
      </c>
    </row>
    <row r="51" spans="1:5" x14ac:dyDescent="0.25">
      <c r="A51" s="2">
        <v>3.6292036652182071</v>
      </c>
      <c r="B51" s="2">
        <v>1.3441257032262262</v>
      </c>
      <c r="C51" s="2">
        <v>1.0603881460963405</v>
      </c>
      <c r="D51" s="2">
        <v>2.697900149957499</v>
      </c>
      <c r="E51" s="2">
        <v>-0.88631768141989131</v>
      </c>
    </row>
    <row r="52" spans="1:5" x14ac:dyDescent="0.25">
      <c r="A52" s="2">
        <v>-4.6512422873355561</v>
      </c>
      <c r="B52" s="2">
        <v>0.1881418063231845</v>
      </c>
      <c r="C52" s="2">
        <v>-3.5501315969794214</v>
      </c>
      <c r="D52" s="2">
        <v>-7.1472312891764629</v>
      </c>
      <c r="E52" s="2">
        <v>-8.0225487640398576</v>
      </c>
    </row>
    <row r="53" spans="1:5" x14ac:dyDescent="0.25">
      <c r="A53" s="2">
        <v>-0.77617576586858583</v>
      </c>
      <c r="B53" s="2">
        <v>-6.3969243071008295</v>
      </c>
      <c r="C53" s="2">
        <v>-0.75233716363424297</v>
      </c>
      <c r="D53" s="2">
        <v>-2.5092783569297503</v>
      </c>
      <c r="E53" s="2">
        <v>-4.1289483858347218</v>
      </c>
    </row>
    <row r="54" spans="1:5" x14ac:dyDescent="0.25">
      <c r="A54" s="2">
        <v>6.3513188004335763</v>
      </c>
      <c r="B54" s="2">
        <v>16.48510003063263</v>
      </c>
      <c r="C54" s="2">
        <v>11.079500611204317</v>
      </c>
      <c r="D54" s="2">
        <v>13.77843583369763</v>
      </c>
      <c r="E54" s="2">
        <v>8.810680976518892</v>
      </c>
    </row>
    <row r="55" spans="1:5" x14ac:dyDescent="0.25">
      <c r="A55" s="2">
        <v>1.0871596256094129</v>
      </c>
      <c r="B55" s="2">
        <v>1.6597033942249266</v>
      </c>
      <c r="C55" s="2">
        <v>0.52875956311239969</v>
      </c>
      <c r="D55" s="2">
        <v>1.8493381198115308</v>
      </c>
      <c r="E55" s="2">
        <v>4.9595868019974692</v>
      </c>
    </row>
    <row r="56" spans="1:5" x14ac:dyDescent="0.25">
      <c r="A56" s="2">
        <v>0.46435553165626448</v>
      </c>
      <c r="B56" s="2">
        <v>-0.29620831496452721</v>
      </c>
      <c r="C56" s="2">
        <v>-0.9579381646641093</v>
      </c>
      <c r="D56" s="2">
        <v>3.37418836086069</v>
      </c>
      <c r="E56" s="2">
        <v>1.2988803434795111</v>
      </c>
    </row>
    <row r="57" spans="1:5" x14ac:dyDescent="0.25">
      <c r="A57" s="2">
        <v>2.0818929949374478</v>
      </c>
      <c r="B57" s="2">
        <v>1.3937205835063078</v>
      </c>
      <c r="C57" s="2">
        <v>2.5358386356922562</v>
      </c>
      <c r="D57" s="2">
        <v>4.8954802448006456</v>
      </c>
      <c r="E57" s="2">
        <v>5.4301212649775854</v>
      </c>
    </row>
    <row r="58" spans="1:5" x14ac:dyDescent="0.25">
      <c r="A58" s="2">
        <v>6.7447703315309342</v>
      </c>
      <c r="B58" s="2">
        <v>10.971636573323234</v>
      </c>
      <c r="C58" s="2">
        <v>9.3434891121031054</v>
      </c>
      <c r="D58" s="2">
        <v>3.5387285717732122</v>
      </c>
      <c r="E58" s="2">
        <v>6.0836932625725009</v>
      </c>
    </row>
    <row r="59" spans="1:5" x14ac:dyDescent="0.25">
      <c r="A59" s="2">
        <v>6.1911900900029848E-2</v>
      </c>
      <c r="B59" s="2">
        <v>1.1249930986999568</v>
      </c>
      <c r="C59" s="2">
        <v>0.28420444957590757</v>
      </c>
      <c r="D59" s="2">
        <v>2.0814504053634728</v>
      </c>
      <c r="E59" s="2">
        <v>2.5695245497992776</v>
      </c>
    </row>
    <row r="60" spans="1:5" x14ac:dyDescent="0.25">
      <c r="A60" s="2">
        <v>3.7400286357128212</v>
      </c>
      <c r="B60" s="2">
        <v>4.7283518050466196</v>
      </c>
      <c r="C60" s="2">
        <v>-0.20753073846107678</v>
      </c>
      <c r="D60" s="2">
        <v>1.4081935190902581</v>
      </c>
      <c r="E60" s="2">
        <v>-3.3335472007379678</v>
      </c>
    </row>
    <row r="61" spans="1:5" x14ac:dyDescent="0.25">
      <c r="A61" s="2">
        <v>10.159014955095287</v>
      </c>
      <c r="B61" s="2">
        <v>17.611162220177842</v>
      </c>
      <c r="C61" s="2">
        <v>7.7789150460593621</v>
      </c>
      <c r="D61" s="2">
        <v>-3.4050200441634928</v>
      </c>
      <c r="E61" s="2">
        <v>6.7992035265240709</v>
      </c>
    </row>
    <row r="62" spans="1:5" x14ac:dyDescent="0.25">
      <c r="A62" s="2">
        <v>1.8985699199942703</v>
      </c>
      <c r="B62" s="2">
        <v>-6.7866920449508354</v>
      </c>
      <c r="C62" s="2">
        <v>-0.28599816653767379</v>
      </c>
      <c r="D62" s="2">
        <v>3.225683811364584</v>
      </c>
      <c r="E62" s="2">
        <v>-4.3614485238850653</v>
      </c>
    </row>
    <row r="63" spans="1:5" x14ac:dyDescent="0.25">
      <c r="A63" s="2">
        <v>5.4117430080754643</v>
      </c>
      <c r="B63" s="2">
        <v>10.138153459710592</v>
      </c>
      <c r="C63" s="2">
        <v>-0.89403681846207794</v>
      </c>
      <c r="D63" s="2">
        <v>7.3805832278913321</v>
      </c>
      <c r="E63" s="2">
        <v>2.7152416940283266</v>
      </c>
    </row>
    <row r="64" spans="1:5" x14ac:dyDescent="0.25">
      <c r="A64" s="2">
        <v>-4.4436390600330764</v>
      </c>
      <c r="B64" s="2">
        <v>5.0685088064610326</v>
      </c>
      <c r="C64" s="2">
        <v>-3.1498577967382149</v>
      </c>
      <c r="D64" s="2">
        <v>-4.0270320208626353</v>
      </c>
      <c r="E64" s="2">
        <v>0.94250886884611385</v>
      </c>
    </row>
    <row r="65" spans="1:5" x14ac:dyDescent="0.25">
      <c r="A65" s="2">
        <v>20.490967111917126</v>
      </c>
      <c r="B65" s="2">
        <v>10.97722515240439</v>
      </c>
      <c r="C65" s="2">
        <v>11.831709716180054</v>
      </c>
      <c r="D65" s="2">
        <v>13.04708215166818</v>
      </c>
      <c r="E65" s="2">
        <v>-2.2188586429534207</v>
      </c>
    </row>
    <row r="66" spans="1:5" x14ac:dyDescent="0.25">
      <c r="A66" s="2">
        <v>9.6903978841262486</v>
      </c>
      <c r="B66" s="2">
        <v>12.591180858826217</v>
      </c>
      <c r="C66" s="2">
        <v>5.1645660507994418</v>
      </c>
      <c r="D66" s="2">
        <v>-1.2049851467428414</v>
      </c>
      <c r="E66" s="2">
        <v>5.2308875602252165</v>
      </c>
    </row>
    <row r="67" spans="1:5" x14ac:dyDescent="0.25">
      <c r="A67" s="2">
        <v>-7.1217468746907695</v>
      </c>
      <c r="B67" s="2">
        <v>-0.38400303333378738</v>
      </c>
      <c r="C67" s="2">
        <v>8.2642250155447989</v>
      </c>
      <c r="D67" s="2">
        <v>10.629794059933301</v>
      </c>
      <c r="E67" s="2">
        <v>3.2103660288456086</v>
      </c>
    </row>
    <row r="68" spans="1:5" x14ac:dyDescent="0.25">
      <c r="A68" s="2">
        <v>8.0833442834870386</v>
      </c>
      <c r="B68" s="2">
        <v>10.396591434308608</v>
      </c>
      <c r="C68" s="2">
        <v>5.5865242332718408</v>
      </c>
      <c r="D68" s="2">
        <v>8.367109677949081</v>
      </c>
      <c r="E68" s="2">
        <v>20.049327179498594</v>
      </c>
    </row>
    <row r="69" spans="1:5" x14ac:dyDescent="0.25">
      <c r="A69" s="2">
        <v>0.45771176973123123</v>
      </c>
      <c r="B69" s="2">
        <v>10.132213610472936</v>
      </c>
      <c r="C69" s="2">
        <v>-1.3865158137461311</v>
      </c>
      <c r="D69" s="2">
        <v>0.44272970154921409</v>
      </c>
      <c r="E69" s="2">
        <v>-2.0995320666515145</v>
      </c>
    </row>
    <row r="70" spans="1:5" x14ac:dyDescent="0.25">
      <c r="A70" s="2">
        <v>-0.70486339387634722</v>
      </c>
      <c r="B70" s="2">
        <v>-9.8327191876985509</v>
      </c>
      <c r="C70" s="2">
        <v>4.9277418824532084</v>
      </c>
      <c r="D70" s="2">
        <v>-3.3928438254614286</v>
      </c>
      <c r="E70" s="2">
        <v>3.2606069678231013</v>
      </c>
    </row>
    <row r="71" spans="1:5" x14ac:dyDescent="0.25">
      <c r="A71" s="2">
        <v>-1.7432093234687724</v>
      </c>
      <c r="B71" s="2">
        <v>-0.82549028986045814</v>
      </c>
      <c r="C71" s="2">
        <v>1.3063770661455154</v>
      </c>
      <c r="D71" s="2">
        <v>3.6729598143023074</v>
      </c>
      <c r="E71" s="2">
        <v>3.6435534555129934</v>
      </c>
    </row>
    <row r="72" spans="1:5" x14ac:dyDescent="0.25">
      <c r="A72" s="2">
        <v>2.0319424981393626</v>
      </c>
      <c r="B72" s="2">
        <v>8.417745372445971</v>
      </c>
      <c r="C72" s="2">
        <v>1.6653812734143421</v>
      </c>
      <c r="D72" s="2">
        <v>0.15063502075938803</v>
      </c>
      <c r="E72" s="2">
        <v>16.341444198446066</v>
      </c>
    </row>
    <row r="73" spans="1:5" x14ac:dyDescent="0.25">
      <c r="A73" s="2">
        <v>-3.9001534432736151</v>
      </c>
      <c r="B73" s="2">
        <v>-7.6444034399815441</v>
      </c>
      <c r="C73" s="2">
        <v>-8.5007495951785774</v>
      </c>
      <c r="D73" s="2">
        <v>-5.8526834662653409</v>
      </c>
      <c r="E73" s="2">
        <v>2.4697238547718867</v>
      </c>
    </row>
    <row r="74" spans="1:5" x14ac:dyDescent="0.25">
      <c r="A74" s="2">
        <v>9.0246412538421747</v>
      </c>
      <c r="B74" s="2">
        <v>6.8561133112133801</v>
      </c>
      <c r="C74" s="2">
        <v>8.1595509403171533</v>
      </c>
      <c r="D74" s="2">
        <v>6.6088328362056608</v>
      </c>
      <c r="E74" s="2">
        <v>-3.0274880559354953</v>
      </c>
    </row>
    <row r="75" spans="1:5" x14ac:dyDescent="0.25">
      <c r="A75" s="2">
        <v>0.34998369251611472</v>
      </c>
      <c r="B75" s="2">
        <v>-1.6841008724336934</v>
      </c>
      <c r="C75" s="2">
        <v>-2.5194515738229435</v>
      </c>
      <c r="D75" s="2">
        <v>2.5540904017049466</v>
      </c>
      <c r="E75" s="2">
        <v>5.9290631989788132</v>
      </c>
    </row>
    <row r="76" spans="1:5" x14ac:dyDescent="0.25">
      <c r="A76" s="2">
        <v>-7.1283923147118022</v>
      </c>
      <c r="B76" s="2">
        <v>-21.413386401687141</v>
      </c>
      <c r="C76" s="2">
        <v>17.348789151327029</v>
      </c>
      <c r="D76" s="2">
        <v>19.128144754604929</v>
      </c>
      <c r="E76" s="2">
        <v>13.339410359763814</v>
      </c>
    </row>
    <row r="77" spans="1:5" x14ac:dyDescent="0.25">
      <c r="A77" s="2">
        <v>1.6717253632503137</v>
      </c>
      <c r="B77" s="2">
        <v>3.249232417996748</v>
      </c>
      <c r="C77" s="2">
        <v>2.6959315267338968</v>
      </c>
      <c r="D77" s="2">
        <v>1.1398340462958716</v>
      </c>
      <c r="E77" s="2">
        <v>5.8582815171795266</v>
      </c>
    </row>
    <row r="78" spans="1:5" x14ac:dyDescent="0.25">
      <c r="A78" s="2">
        <v>-4.0490358965533337</v>
      </c>
      <c r="B78" s="2">
        <v>-2.1749275407812054</v>
      </c>
      <c r="C78" s="2">
        <v>-0.34398398184701962</v>
      </c>
      <c r="D78" s="2">
        <v>11.062469809738472</v>
      </c>
      <c r="E78" s="2">
        <v>13.718463320025984</v>
      </c>
    </row>
    <row r="79" spans="1:5" x14ac:dyDescent="0.25">
      <c r="A79" s="2">
        <v>5.6648224288749702</v>
      </c>
      <c r="B79" s="2">
        <v>7.0315875942857406</v>
      </c>
      <c r="C79" s="2">
        <v>5.1782607719191649</v>
      </c>
      <c r="D79" s="2">
        <v>4.3375752984483391</v>
      </c>
      <c r="E79" s="2">
        <v>-5.50210233630599</v>
      </c>
    </row>
    <row r="80" spans="1:5" x14ac:dyDescent="0.25">
      <c r="A80" s="2">
        <v>8.4874402206734469</v>
      </c>
      <c r="B80" s="2">
        <v>5.8946859285434572</v>
      </c>
      <c r="C80" s="2">
        <v>4.7543021958979548</v>
      </c>
      <c r="D80" s="2">
        <v>3.4189350548028692</v>
      </c>
      <c r="E80" s="2">
        <v>-1.5232319789008089</v>
      </c>
    </row>
    <row r="81" spans="1:5" x14ac:dyDescent="0.25">
      <c r="A81" s="2">
        <v>-8.9066754931016082E-2</v>
      </c>
      <c r="B81" s="2">
        <v>-0.85764167413768366</v>
      </c>
      <c r="C81" s="2">
        <v>3.9404981795716854</v>
      </c>
      <c r="D81" s="2">
        <v>-4.4887787718086738</v>
      </c>
      <c r="E81" s="2">
        <v>6.5781412974661917</v>
      </c>
    </row>
    <row r="82" spans="1:5" x14ac:dyDescent="0.25">
      <c r="A82" s="2">
        <v>4.2154686648255213</v>
      </c>
      <c r="B82" s="2">
        <v>-3.0878710632975541</v>
      </c>
      <c r="C82" s="2">
        <v>-2.1320182895278781</v>
      </c>
      <c r="D82" s="2">
        <v>5.6475499249890992</v>
      </c>
      <c r="E82" s="2">
        <v>-0.57378761257663735</v>
      </c>
    </row>
    <row r="83" spans="1:5" x14ac:dyDescent="0.25">
      <c r="A83" s="2">
        <v>-23.227352067414948</v>
      </c>
      <c r="B83" s="2">
        <v>-25.425243733069319</v>
      </c>
      <c r="C83" s="2">
        <v>-21.222794253653124</v>
      </c>
      <c r="D83" s="2">
        <v>-25.930493024400782</v>
      </c>
      <c r="E83" s="2">
        <v>-12.584689711939468</v>
      </c>
    </row>
    <row r="84" spans="1:5" x14ac:dyDescent="0.25">
      <c r="A84" s="2">
        <v>-11.082545048012319</v>
      </c>
      <c r="B84" s="2">
        <v>-17.139801544131021</v>
      </c>
      <c r="C84" s="2">
        <v>-8.4527711196986726</v>
      </c>
      <c r="D84" s="2">
        <v>-10.117259864230281</v>
      </c>
      <c r="E84" s="2">
        <v>-0.5840886698599016</v>
      </c>
    </row>
    <row r="85" spans="1:5" x14ac:dyDescent="0.25">
      <c r="A85" s="2">
        <v>-2.3279245107294484</v>
      </c>
      <c r="B85" s="2">
        <v>-8.0155644497286715</v>
      </c>
      <c r="C85" s="2">
        <v>11.626609671386595</v>
      </c>
      <c r="D85" s="2">
        <v>15.50868369540007</v>
      </c>
      <c r="E85" s="2">
        <v>3.1342659798352441</v>
      </c>
    </row>
    <row r="86" spans="1:5" x14ac:dyDescent="0.25">
      <c r="A86" s="2">
        <v>8.1323682385575609</v>
      </c>
      <c r="B86" s="2">
        <v>20.693349553653213</v>
      </c>
      <c r="C86" s="2">
        <v>4.1868907640257031</v>
      </c>
      <c r="D86" s="2">
        <v>-0.84444026192765831</v>
      </c>
      <c r="E86" s="2">
        <v>8.1077970377155317</v>
      </c>
    </row>
    <row r="87" spans="1:5" x14ac:dyDescent="0.25">
      <c r="A87" s="2">
        <v>-1.940412773615841</v>
      </c>
      <c r="B87" s="2">
        <v>-2.702269310616368</v>
      </c>
      <c r="C87" s="2">
        <v>-2.4580071305178817</v>
      </c>
      <c r="D87" s="2">
        <v>1.5790610378459091</v>
      </c>
      <c r="E87" s="2">
        <v>5.7075318948843998</v>
      </c>
    </row>
    <row r="88" spans="1:5" x14ac:dyDescent="0.25">
      <c r="A88" s="2">
        <v>4.2511097849107435E-2</v>
      </c>
      <c r="B88" s="2">
        <v>0.33462041037352713</v>
      </c>
      <c r="C88" s="2">
        <v>0.86026772677174101</v>
      </c>
      <c r="D88" s="2">
        <v>-0.83721594065037319</v>
      </c>
      <c r="E88" s="2">
        <v>-4.3564288917856322</v>
      </c>
    </row>
    <row r="89" spans="1:5" x14ac:dyDescent="0.25">
      <c r="A89" s="2">
        <v>7.3390372059196132</v>
      </c>
      <c r="B89" s="2">
        <v>9.7373322578279691</v>
      </c>
      <c r="C89" s="2">
        <v>4.3313389286254695</v>
      </c>
      <c r="D89" s="2">
        <v>5.093231109136009</v>
      </c>
      <c r="E89" s="2">
        <v>6.7352929239524277</v>
      </c>
    </row>
    <row r="90" spans="1:5" x14ac:dyDescent="0.25">
      <c r="A90" s="2">
        <v>-0.36808928544240804</v>
      </c>
      <c r="B90" s="2">
        <v>-0.92456471418414388</v>
      </c>
      <c r="C90" s="2">
        <v>-3.3542338832410126</v>
      </c>
      <c r="D90" s="2">
        <v>-4.9877941855424979</v>
      </c>
      <c r="E90" s="2">
        <v>-4.8133945083296883</v>
      </c>
    </row>
    <row r="91" spans="1:5" x14ac:dyDescent="0.25">
      <c r="A91" s="2">
        <v>3.7796906101833603</v>
      </c>
      <c r="B91" s="2">
        <v>8.475083836260966</v>
      </c>
      <c r="C91" s="2">
        <v>4.2731907577846018</v>
      </c>
      <c r="D91" s="2">
        <v>4.4459998038463917</v>
      </c>
      <c r="E91" s="2">
        <v>2.8167759551336888</v>
      </c>
    </row>
    <row r="92" spans="1:5" x14ac:dyDescent="0.25">
      <c r="A92" s="2">
        <v>3.885375173947287</v>
      </c>
      <c r="B92" s="2">
        <v>4.2442119295557807</v>
      </c>
      <c r="C92" s="2">
        <v>3.0652927067602453</v>
      </c>
      <c r="D92" s="2">
        <v>2.4536145838224046</v>
      </c>
      <c r="E92" s="2">
        <v>0.77600944232328051</v>
      </c>
    </row>
    <row r="93" spans="1:5" x14ac:dyDescent="0.25">
      <c r="A93" s="2">
        <v>-0.69598990743759437</v>
      </c>
      <c r="B93" s="2">
        <v>-3.1354529014033421</v>
      </c>
      <c r="C93" s="2">
        <v>-1.5412780144215821</v>
      </c>
      <c r="D93" s="2">
        <v>-2.7367479671409694</v>
      </c>
      <c r="E93" s="2">
        <v>6.2411821218758465</v>
      </c>
    </row>
    <row r="94" spans="1:5" x14ac:dyDescent="0.25">
      <c r="A94" s="2">
        <v>3.041852232499715</v>
      </c>
      <c r="B94" s="2">
        <v>4.5963054187192123</v>
      </c>
      <c r="C94" s="2">
        <v>1.6380641569292063</v>
      </c>
      <c r="D94" s="2">
        <v>0.33759328611263306</v>
      </c>
      <c r="E94" s="2">
        <v>3.0526351407348717</v>
      </c>
    </row>
    <row r="95" spans="1:5" x14ac:dyDescent="0.25">
      <c r="A95" s="2">
        <v>2.4640863313338999</v>
      </c>
      <c r="B95" s="2">
        <v>-4.4727441417978033</v>
      </c>
      <c r="C95" s="2">
        <v>4.3822930555124806</v>
      </c>
      <c r="D95" s="2">
        <v>12.352092844890214</v>
      </c>
      <c r="E95" s="2">
        <v>3.5595625471700649</v>
      </c>
    </row>
    <row r="96" spans="1:5" x14ac:dyDescent="0.25">
      <c r="A96" s="2">
        <v>10.196949263679468</v>
      </c>
      <c r="B96" s="2">
        <v>5.90706170331823</v>
      </c>
      <c r="C96" s="2">
        <v>7.8097821961258154</v>
      </c>
      <c r="D96" s="2">
        <v>5.7188759190926168</v>
      </c>
      <c r="E96" s="2">
        <v>1.157225306032432</v>
      </c>
    </row>
    <row r="97" spans="1:5" x14ac:dyDescent="0.25">
      <c r="A97" s="2">
        <v>-3.6379864553172667</v>
      </c>
      <c r="B97" s="2">
        <v>1.1416800502758258</v>
      </c>
      <c r="C97" s="2">
        <v>3.8606604804663229</v>
      </c>
      <c r="D97" s="2">
        <v>2.6056516884619671E-2</v>
      </c>
      <c r="E97" s="2">
        <v>1.5892440529402732</v>
      </c>
    </row>
    <row r="98" spans="1:5" x14ac:dyDescent="0.25">
      <c r="A98" s="2">
        <v>11.402707442762066</v>
      </c>
      <c r="B98" s="2">
        <v>6.67334046739618</v>
      </c>
      <c r="C98" s="2">
        <v>-0.37199540753688642</v>
      </c>
      <c r="D98" s="2">
        <v>1.702574371976961</v>
      </c>
      <c r="E98" s="2">
        <v>-4.2252091521679809</v>
      </c>
    </row>
    <row r="99" spans="1:5" x14ac:dyDescent="0.25">
      <c r="A99" s="2">
        <v>8.5918370262432386</v>
      </c>
      <c r="B99" s="2">
        <v>9.073356158029739</v>
      </c>
      <c r="C99" s="2">
        <v>9.1681842187405262</v>
      </c>
      <c r="D99" s="2">
        <v>7.4208891877473757</v>
      </c>
      <c r="E99" s="2">
        <v>7.9206617249874771</v>
      </c>
    </row>
    <row r="100" spans="1:5" x14ac:dyDescent="0.25">
      <c r="A100" s="2">
        <v>0.94930880426031361</v>
      </c>
      <c r="B100" s="2">
        <v>4.9882217048958601</v>
      </c>
      <c r="C100" s="2">
        <v>1.2999455250598222</v>
      </c>
      <c r="D100" s="2">
        <v>-0.14405177970820904</v>
      </c>
      <c r="E100" s="2">
        <v>0.97764680384033897</v>
      </c>
    </row>
    <row r="101" spans="1:5" x14ac:dyDescent="0.25">
      <c r="A101" s="2">
        <v>-5.6279549826154538</v>
      </c>
      <c r="B101" s="2">
        <v>-6.7202827371701082</v>
      </c>
      <c r="C101" s="2">
        <v>-2.2632690653564236</v>
      </c>
      <c r="D101" s="2">
        <v>-7.2532710916520475</v>
      </c>
      <c r="E101" s="2">
        <v>-0.42820360128010776</v>
      </c>
    </row>
    <row r="102" spans="1:5" x14ac:dyDescent="0.25">
      <c r="A102" s="2">
        <v>4.0181616820545614</v>
      </c>
      <c r="B102" s="2">
        <v>19.553499118429372</v>
      </c>
      <c r="C102" s="2">
        <v>4.3737716047017106</v>
      </c>
      <c r="D102" s="2">
        <v>13.638106940059725</v>
      </c>
      <c r="E102" s="2">
        <v>5.8488280787806382</v>
      </c>
    </row>
    <row r="103" spans="1:5" x14ac:dyDescent="0.25">
      <c r="A103" s="2">
        <v>-3.2652736107054672</v>
      </c>
      <c r="B103" s="2">
        <v>1.433890356715692</v>
      </c>
      <c r="C103" s="2">
        <v>-5.0913735404886573</v>
      </c>
      <c r="D103" s="2">
        <v>-6.3406473615488252</v>
      </c>
      <c r="E103" s="2">
        <v>-12.791694036694265</v>
      </c>
    </row>
    <row r="104" spans="1:5" x14ac:dyDescent="0.25">
      <c r="A104" s="2">
        <v>-2.5954349329732116</v>
      </c>
      <c r="B104" s="2">
        <v>12.914443311949174</v>
      </c>
      <c r="C104" s="2">
        <v>2.3712345839355033</v>
      </c>
      <c r="D104" s="2">
        <v>-0.19674486783949949</v>
      </c>
      <c r="E104" s="2">
        <v>-14.477990810199579</v>
      </c>
    </row>
    <row r="105" spans="1:5" x14ac:dyDescent="0.25">
      <c r="A105" s="2">
        <v>-4.5274969285046058</v>
      </c>
      <c r="B105" s="2">
        <v>-8.6472031953368003</v>
      </c>
      <c r="C105" s="2">
        <v>-2.0320682394860343</v>
      </c>
      <c r="D105" s="2">
        <v>-6.1913491165802057</v>
      </c>
      <c r="E105" s="2">
        <v>1.8492943130834421</v>
      </c>
    </row>
    <row r="106" spans="1:5" x14ac:dyDescent="0.25">
      <c r="A106" s="2">
        <v>15.353488248541215</v>
      </c>
      <c r="B106" s="2">
        <v>6.83704656896382</v>
      </c>
      <c r="C106" s="2">
        <v>8.8526225298403052</v>
      </c>
      <c r="D106" s="2">
        <v>14.042784204436648</v>
      </c>
      <c r="E106" s="2">
        <v>4.055622534768097</v>
      </c>
    </row>
    <row r="107" spans="1:5" x14ac:dyDescent="0.25">
      <c r="A107" s="2">
        <v>-2.7779483557984657</v>
      </c>
      <c r="B107" s="2">
        <v>4.4211410790576489</v>
      </c>
      <c r="C107" s="2">
        <v>-0.14554714335255706</v>
      </c>
      <c r="D107" s="2">
        <v>-1.9226181981814923</v>
      </c>
      <c r="E107" s="2">
        <v>-4.8206557066804923</v>
      </c>
    </row>
    <row r="108" spans="1:5" x14ac:dyDescent="0.25">
      <c r="A108" s="2">
        <v>-24.325277455384743</v>
      </c>
      <c r="B108" s="2">
        <v>-31.605500736654115</v>
      </c>
      <c r="C108" s="2">
        <v>-13.347748716050752</v>
      </c>
      <c r="D108" s="2">
        <v>-14.347496153995253</v>
      </c>
      <c r="E108" s="2">
        <v>-28.768541416660675</v>
      </c>
    </row>
    <row r="109" spans="1:5" x14ac:dyDescent="0.25">
      <c r="A109" s="2">
        <v>5.3498271556850749</v>
      </c>
      <c r="B109" s="2">
        <v>11.932794447500953</v>
      </c>
      <c r="C109" s="2">
        <v>-0.2982467944686098</v>
      </c>
      <c r="D109" s="2">
        <v>4.1126091328764494</v>
      </c>
      <c r="E109" s="2">
        <v>16.792809767405164</v>
      </c>
    </row>
    <row r="110" spans="1:5" x14ac:dyDescent="0.25">
      <c r="A110" s="2">
        <v>-2.5134934389700527</v>
      </c>
      <c r="B110" s="2">
        <v>1.0860688278396597</v>
      </c>
      <c r="C110" s="2">
        <v>6.5772428453852045</v>
      </c>
      <c r="D110" s="2">
        <v>5.5128519671572755</v>
      </c>
      <c r="E110" s="2">
        <v>-9.5332886069060141</v>
      </c>
    </row>
    <row r="111" spans="1:5" x14ac:dyDescent="0.25">
      <c r="A111" s="2">
        <v>0.11919637263767091</v>
      </c>
      <c r="B111" s="2">
        <v>-5.3961254270950771</v>
      </c>
      <c r="C111" s="2">
        <v>2.7879221699898724</v>
      </c>
      <c r="D111" s="2">
        <v>-3.5386702726874483E-2</v>
      </c>
      <c r="E111" s="2">
        <v>6.7645217611045467</v>
      </c>
    </row>
    <row r="112" spans="1:5" x14ac:dyDescent="0.25">
      <c r="A112" s="2">
        <v>16.326019826626929</v>
      </c>
      <c r="B112" s="2">
        <v>10.216600146680022</v>
      </c>
      <c r="C112" s="2">
        <v>12.02772703653905</v>
      </c>
      <c r="D112" s="2">
        <v>12.864542901099529</v>
      </c>
      <c r="E112" s="2">
        <v>12.935037689033532</v>
      </c>
    </row>
    <row r="113" spans="1:5" x14ac:dyDescent="0.25">
      <c r="A113" s="2">
        <v>4.4880834348550547</v>
      </c>
      <c r="B113" s="2">
        <v>-3.6108296191338729</v>
      </c>
      <c r="C113" s="2">
        <v>2.4439343948740104</v>
      </c>
      <c r="D113" s="2">
        <v>3.7942358629072754</v>
      </c>
      <c r="E113" s="2">
        <v>-0.52246572862981744</v>
      </c>
    </row>
    <row r="114" spans="1:5" x14ac:dyDescent="0.25">
      <c r="A114" s="2">
        <v>1.5819394549891623</v>
      </c>
      <c r="B114" s="2">
        <v>6.1449946316892223</v>
      </c>
      <c r="C114" s="2">
        <v>0.39779967419868184</v>
      </c>
      <c r="D114" s="2">
        <v>1.0076942169272822</v>
      </c>
      <c r="E114" s="2">
        <v>-0.218403470035504</v>
      </c>
    </row>
    <row r="115" spans="1:5" x14ac:dyDescent="0.25">
      <c r="A115" s="2">
        <v>0.32433557775013255</v>
      </c>
      <c r="B115" s="2">
        <v>1.5617850875732098</v>
      </c>
      <c r="C115" s="2">
        <v>-0.60497016991468122</v>
      </c>
      <c r="D115" s="2">
        <v>-2.8180532520550146</v>
      </c>
      <c r="E115" s="2">
        <v>-6.9921516970665438</v>
      </c>
    </row>
    <row r="116" spans="1:5" x14ac:dyDescent="0.25">
      <c r="A116" s="2">
        <v>3.8537781442668519</v>
      </c>
      <c r="B116" s="2">
        <v>-2.1203218801890396</v>
      </c>
      <c r="C116" s="2">
        <v>4.6883185526118796</v>
      </c>
      <c r="D116" s="2">
        <v>7.6214342035622842</v>
      </c>
      <c r="E116" s="2">
        <v>3.0520881367519204</v>
      </c>
    </row>
    <row r="117" spans="1:5" x14ac:dyDescent="0.25">
      <c r="A117" s="2">
        <v>0.18430296146726319</v>
      </c>
      <c r="B117" s="2">
        <v>1.1286243832237839E-2</v>
      </c>
      <c r="C117" s="2">
        <v>2.4296825171653929</v>
      </c>
      <c r="D117" s="2">
        <v>2.6777201240502988</v>
      </c>
      <c r="E117" s="2">
        <v>-5.9983014877940573</v>
      </c>
    </row>
    <row r="118" spans="1:5" x14ac:dyDescent="0.25">
      <c r="A118" s="2">
        <v>-3.8873857442402993</v>
      </c>
      <c r="B118" s="2">
        <v>-3.6907142328159752</v>
      </c>
      <c r="C118" s="2">
        <v>-1.6921243210292605</v>
      </c>
      <c r="D118" s="2">
        <v>-0.3026156190713219</v>
      </c>
      <c r="E118" s="2">
        <v>5.5544385442576054</v>
      </c>
    </row>
    <row r="119" spans="1:5" x14ac:dyDescent="0.25">
      <c r="A119" s="2">
        <v>-1.9689274792485838</v>
      </c>
      <c r="B119" s="2">
        <v>-1.4650445353765715</v>
      </c>
      <c r="C119" s="2">
        <v>-2.3762723295499826</v>
      </c>
      <c r="D119" s="2">
        <v>-7.7048031127960712</v>
      </c>
      <c r="E119" s="2">
        <v>-5.0946953331319111</v>
      </c>
    </row>
    <row r="120" spans="1:5" x14ac:dyDescent="0.25">
      <c r="A120" s="2">
        <v>2.4652604664247177</v>
      </c>
      <c r="B120" s="2">
        <v>-0.27722396983980874</v>
      </c>
      <c r="C120" s="2">
        <v>11.425857371084696</v>
      </c>
      <c r="D120" s="2">
        <v>2.4901364599222271</v>
      </c>
      <c r="E120" s="2">
        <v>-0.89321376851807299</v>
      </c>
    </row>
    <row r="121" spans="1:5" x14ac:dyDescent="0.25">
      <c r="A121" s="2">
        <v>10.777155594215502</v>
      </c>
      <c r="B121" s="2">
        <v>11.279464729896167</v>
      </c>
      <c r="C121" s="2">
        <v>-0.5343503666010635</v>
      </c>
      <c r="D121" s="2">
        <v>3.9682330293953441</v>
      </c>
      <c r="E121" s="2">
        <v>-9.5476311979501549</v>
      </c>
    </row>
    <row r="122" spans="1:5" x14ac:dyDescent="0.25">
      <c r="A122" s="2">
        <v>-0.57002358125964148</v>
      </c>
      <c r="B122" s="2">
        <v>-1.8374584336562718</v>
      </c>
      <c r="C122" s="2">
        <v>-1.840699617588857</v>
      </c>
      <c r="D122" s="2">
        <v>-4.4807643246295239</v>
      </c>
      <c r="E122" s="2">
        <v>-8.1009829774899096</v>
      </c>
    </row>
    <row r="123" spans="1:5" x14ac:dyDescent="0.25">
      <c r="A123" s="2">
        <v>6.0949546401318848</v>
      </c>
      <c r="B123" s="2">
        <v>3.1422703764856834</v>
      </c>
      <c r="C123" s="2">
        <v>3.3530178518459666</v>
      </c>
      <c r="D123" s="2">
        <v>12.482014337295047</v>
      </c>
      <c r="E123" s="2">
        <v>-2.7404222363846134</v>
      </c>
    </row>
    <row r="124" spans="1:5" x14ac:dyDescent="0.25">
      <c r="A124" s="2">
        <v>-2.558496025829208</v>
      </c>
      <c r="B124" s="2">
        <v>-3.037774977426305</v>
      </c>
      <c r="C124" s="2">
        <v>-1.5236387853333722</v>
      </c>
      <c r="D124" s="2">
        <v>-7.4454216523459573</v>
      </c>
      <c r="E124" s="2">
        <v>-10.356662961795578</v>
      </c>
    </row>
    <row r="125" spans="1:5" x14ac:dyDescent="0.25">
      <c r="A125" s="2">
        <v>-2.6216155568605477</v>
      </c>
      <c r="B125" s="2">
        <v>-10.312851239176078</v>
      </c>
      <c r="C125" s="2">
        <v>4.1739954970024469</v>
      </c>
      <c r="D125" s="2">
        <v>-4.7627098022471577</v>
      </c>
      <c r="E125" s="2">
        <v>-0.18496277612564735</v>
      </c>
    </row>
    <row r="126" spans="1:5" x14ac:dyDescent="0.25">
      <c r="A126" s="2">
        <v>-2.7093547754461711</v>
      </c>
      <c r="B126" s="2">
        <v>-6.234465656621361</v>
      </c>
      <c r="C126" s="2">
        <v>-2.3941619645052459</v>
      </c>
      <c r="D126" s="2">
        <v>-3.5052816067452981</v>
      </c>
      <c r="E126" s="2">
        <v>13.895874796873075</v>
      </c>
    </row>
    <row r="127" spans="1:5" x14ac:dyDescent="0.25">
      <c r="A127" s="2">
        <v>6.1582188536238744</v>
      </c>
      <c r="B127" s="2">
        <v>-2.478365009217808</v>
      </c>
      <c r="C127" s="2">
        <v>1.0899930563405369</v>
      </c>
      <c r="D127" s="2">
        <v>9.7086420634601769</v>
      </c>
      <c r="E127" s="2">
        <v>-4.9180327868852398</v>
      </c>
    </row>
    <row r="128" spans="1:5" x14ac:dyDescent="0.25">
      <c r="A128" s="2">
        <v>1.5418648589630479</v>
      </c>
      <c r="B128" s="2">
        <v>3.453489363560549</v>
      </c>
      <c r="C128" s="2">
        <v>0.6133989329414401</v>
      </c>
      <c r="D128" s="2">
        <v>4.5328280887998798</v>
      </c>
      <c r="E128" s="2">
        <v>-1.8827531423445363</v>
      </c>
    </row>
    <row r="129" spans="1:5" x14ac:dyDescent="0.25">
      <c r="A129" s="2">
        <v>0.7776925881945933</v>
      </c>
      <c r="B129" s="2">
        <v>4.2522610176237681</v>
      </c>
      <c r="C129" s="2">
        <v>3.3269297939224605</v>
      </c>
      <c r="D129" s="2">
        <v>4.9915773671576078</v>
      </c>
      <c r="E129" s="2">
        <v>3.7027989750846451</v>
      </c>
    </row>
    <row r="130" spans="1:5" x14ac:dyDescent="0.25">
      <c r="A130" s="2">
        <v>9.0471341657176101</v>
      </c>
      <c r="B130" s="2">
        <v>2.5612893024762569</v>
      </c>
      <c r="C130" s="2">
        <v>1.9986478492351796</v>
      </c>
      <c r="D130" s="2">
        <v>3.1224390119352816</v>
      </c>
      <c r="E130" s="2">
        <v>-1.7342708406944158</v>
      </c>
    </row>
    <row r="131" spans="1:5" x14ac:dyDescent="0.25">
      <c r="A131" s="2">
        <v>1.5133918695866746</v>
      </c>
      <c r="B131" s="2">
        <v>8.2487135473754893</v>
      </c>
      <c r="C131" s="2">
        <v>1.3179351407944186</v>
      </c>
      <c r="D131" s="2">
        <v>2.4372994026156358</v>
      </c>
      <c r="E131" s="2">
        <v>-1.2499261601840224</v>
      </c>
    </row>
    <row r="132" spans="1:5" x14ac:dyDescent="0.25">
      <c r="A132" s="2">
        <v>4.440430716750714</v>
      </c>
      <c r="B132" s="2">
        <v>-0.63289930058027444</v>
      </c>
      <c r="C132" s="2">
        <v>2.0624208959273793</v>
      </c>
      <c r="D132" s="2">
        <v>1.2884412589689034</v>
      </c>
      <c r="E132" s="2">
        <v>11.089158009448029</v>
      </c>
    </row>
    <row r="133" spans="1:5" x14ac:dyDescent="0.25">
      <c r="A133" s="2">
        <v>-1.7813471149158406</v>
      </c>
      <c r="B133" s="2">
        <v>-2.1055060223485063</v>
      </c>
      <c r="C133" s="2">
        <v>-2.2028429183799045</v>
      </c>
      <c r="D133" s="2">
        <v>-1.3260512708007373</v>
      </c>
      <c r="E133" s="2">
        <v>13.711009779308059</v>
      </c>
    </row>
    <row r="134" spans="1:5" x14ac:dyDescent="0.25">
      <c r="A134" s="2">
        <v>7.1336944709986918</v>
      </c>
      <c r="B134" s="2">
        <v>1.4246357171297388</v>
      </c>
      <c r="C134" s="2">
        <v>2.561180656801791</v>
      </c>
      <c r="D134" s="2">
        <v>1.302642418493192</v>
      </c>
      <c r="E134" s="2">
        <v>-0.76550938905432742</v>
      </c>
    </row>
    <row r="135" spans="1:5" x14ac:dyDescent="0.25">
      <c r="A135" s="2">
        <v>5.1560760208050525</v>
      </c>
      <c r="B135" s="2">
        <v>-5.5628710047677138E-2</v>
      </c>
      <c r="C135" s="2">
        <v>0.31453563103199622</v>
      </c>
      <c r="D135" s="2">
        <v>2.4171886575375394</v>
      </c>
      <c r="E135" s="2">
        <v>-2.740340891407866</v>
      </c>
    </row>
    <row r="136" spans="1:5" x14ac:dyDescent="0.25">
      <c r="A136" s="2">
        <v>1.598278247278927</v>
      </c>
      <c r="B136" s="2">
        <v>5.7916003212760812</v>
      </c>
      <c r="C136" s="2">
        <v>-0.10397352611417607</v>
      </c>
      <c r="D136" s="2">
        <v>1.6631170144573777</v>
      </c>
      <c r="E136" s="2">
        <v>5.2903664388334812</v>
      </c>
    </row>
    <row r="137" spans="1:5" x14ac:dyDescent="0.25">
      <c r="A137" s="2">
        <v>3.7972966702715856</v>
      </c>
      <c r="B137" s="2">
        <v>6.7462292942091233</v>
      </c>
      <c r="C137" s="2">
        <v>3.6157762197220804</v>
      </c>
      <c r="D137" s="2">
        <v>6.2433203827342192</v>
      </c>
      <c r="E137" s="2">
        <v>2.296834583876437</v>
      </c>
    </row>
    <row r="138" spans="1:5" x14ac:dyDescent="0.25">
      <c r="A138" s="2">
        <v>9.366704262547632</v>
      </c>
      <c r="B138" s="2">
        <v>9.1436138354420979</v>
      </c>
      <c r="C138" s="2">
        <v>0.76670489991747059</v>
      </c>
      <c r="D138" s="2">
        <v>2.9113638982105083</v>
      </c>
      <c r="E138" s="2">
        <v>-1.9011037836560298</v>
      </c>
    </row>
    <row r="139" spans="1:5" x14ac:dyDescent="0.25">
      <c r="A139" s="2">
        <v>1.3849958261476436</v>
      </c>
      <c r="B139" s="2">
        <v>-0.8670127858305513</v>
      </c>
      <c r="C139" s="2">
        <v>-0.66968817291992822</v>
      </c>
      <c r="D139" s="2">
        <v>0.46019216049836525</v>
      </c>
      <c r="E139" s="2">
        <v>-16.018003867008812</v>
      </c>
    </row>
    <row r="140" spans="1:5" x14ac:dyDescent="0.25">
      <c r="A140" s="2">
        <v>7.7591861227793464</v>
      </c>
      <c r="B140" s="2">
        <v>4.7717142478217998</v>
      </c>
      <c r="C140" s="2">
        <v>1.2180028596209269</v>
      </c>
      <c r="D140" s="2">
        <v>8.1177107107710391</v>
      </c>
      <c r="E140" s="2">
        <v>5.6181188901915267</v>
      </c>
    </row>
    <row r="141" spans="1:5" x14ac:dyDescent="0.25">
      <c r="A141" s="2">
        <v>-1.068705365686587</v>
      </c>
      <c r="B141" s="2">
        <v>-7.8777588666924414</v>
      </c>
      <c r="C141" s="2">
        <v>0.74081936261058667</v>
      </c>
      <c r="D141" s="2">
        <v>-1.1206956415592531</v>
      </c>
      <c r="E141" s="2">
        <v>13.371026836894414</v>
      </c>
    </row>
    <row r="142" spans="1:5" x14ac:dyDescent="0.25">
      <c r="A142" s="2">
        <v>-3.9111248156433498</v>
      </c>
      <c r="B142" s="2">
        <v>6.6699724287493778</v>
      </c>
      <c r="C142" s="2">
        <v>-2.9476537063670269</v>
      </c>
      <c r="D142" s="2">
        <v>-5.2268117858987528</v>
      </c>
      <c r="E142" s="2">
        <v>-2.726623563054924</v>
      </c>
    </row>
    <row r="143" spans="1:5" x14ac:dyDescent="0.25">
      <c r="A143" s="2">
        <v>-0.17967534315415723</v>
      </c>
      <c r="B143" s="2">
        <v>-6.2443642921550921</v>
      </c>
      <c r="C143" s="2">
        <v>1.6750733655479835</v>
      </c>
      <c r="D143" s="2">
        <v>-4.9431904277066891</v>
      </c>
      <c r="E143" s="2">
        <v>5.3933746913457119</v>
      </c>
    </row>
    <row r="144" spans="1:5" x14ac:dyDescent="0.25">
      <c r="A144" s="2">
        <v>-5.2874445180749454</v>
      </c>
      <c r="B144" s="2">
        <v>1.7637421800211686</v>
      </c>
      <c r="C144" s="2">
        <v>0.50121353745298503</v>
      </c>
      <c r="D144" s="2">
        <v>4.0362246442522096</v>
      </c>
      <c r="E144" s="2">
        <v>-3.1443736744220732</v>
      </c>
    </row>
    <row r="145" spans="1:5" x14ac:dyDescent="0.25">
      <c r="A145" s="2">
        <v>3.0282701523101063</v>
      </c>
      <c r="B145" s="2">
        <v>3.0097929437386379</v>
      </c>
      <c r="C145" s="2">
        <v>3.9532621970705937</v>
      </c>
      <c r="D145" s="2">
        <v>5.7296003365530357</v>
      </c>
      <c r="E145" s="2">
        <v>0.69285730172519933</v>
      </c>
    </row>
    <row r="146" spans="1:5" x14ac:dyDescent="0.25">
      <c r="A146" s="2">
        <v>-3.772212682305224</v>
      </c>
      <c r="B146" s="2">
        <v>-6.6239931160050043</v>
      </c>
      <c r="C146" s="2">
        <v>-2.0983791257182833</v>
      </c>
      <c r="D146" s="2">
        <v>-7.0643271880174314</v>
      </c>
      <c r="E146" s="2">
        <v>-3.6299415458326054</v>
      </c>
    </row>
    <row r="147" spans="1:5" x14ac:dyDescent="0.25">
      <c r="A147" s="2">
        <v>-1.3433006955513433</v>
      </c>
      <c r="B147" s="2">
        <v>1.4431901230197994</v>
      </c>
      <c r="C147" s="2">
        <v>2.3164866463604423</v>
      </c>
      <c r="D147" s="2">
        <v>2.344264548679571</v>
      </c>
      <c r="E147" s="2">
        <v>0.65740123353891744</v>
      </c>
    </row>
    <row r="148" spans="1:5" x14ac:dyDescent="0.25">
      <c r="A148" s="2">
        <v>3.4036500066295314</v>
      </c>
      <c r="B148" s="2">
        <v>-1.1423079584046532</v>
      </c>
      <c r="C148" s="2">
        <v>-3.3946091036075305</v>
      </c>
      <c r="D148" s="2">
        <v>-0.34231711094381922</v>
      </c>
      <c r="E148" s="2">
        <v>-3.0608773654884458</v>
      </c>
    </row>
    <row r="149" spans="1:5" x14ac:dyDescent="0.25">
      <c r="A149" s="2">
        <v>1.0041222360122528</v>
      </c>
      <c r="B149" s="2">
        <v>2.9853017023005104</v>
      </c>
      <c r="C149" s="2">
        <v>1.4895295892459841</v>
      </c>
      <c r="D149" s="2">
        <v>0.1598273180996081</v>
      </c>
      <c r="E149" s="2">
        <v>1.9986247798722423</v>
      </c>
    </row>
    <row r="150" spans="1:5" x14ac:dyDescent="0.25">
      <c r="A150" s="2">
        <v>-0.21456368654581118</v>
      </c>
      <c r="B150" s="2">
        <v>2.9868121121155244</v>
      </c>
      <c r="C150" s="2">
        <v>6.8580580045363453</v>
      </c>
      <c r="D150" s="2">
        <v>-1.9341150935558173</v>
      </c>
      <c r="E150" s="2">
        <v>-13.113771368595007</v>
      </c>
    </row>
    <row r="151" spans="1:5" x14ac:dyDescent="0.25">
      <c r="A151" s="2">
        <v>-0.1234548510217137</v>
      </c>
      <c r="B151" s="2">
        <v>-2.1608688230408633</v>
      </c>
      <c r="C151" s="2">
        <v>5.9523036655017849</v>
      </c>
      <c r="D151" s="2">
        <v>7.0877688352809471</v>
      </c>
      <c r="E151" s="2">
        <v>-0.45846248005068602</v>
      </c>
    </row>
    <row r="152" spans="1:5" x14ac:dyDescent="0.25">
      <c r="A152" s="2">
        <v>7.0810084858244648</v>
      </c>
      <c r="B152" s="2">
        <v>3.2529253162831022</v>
      </c>
      <c r="C152" s="2">
        <v>3.9287699812293013</v>
      </c>
      <c r="D152" s="2">
        <v>3.6612941887477533</v>
      </c>
      <c r="E152" s="2">
        <v>-5.4899328100906715</v>
      </c>
    </row>
    <row r="153" spans="1:5" x14ac:dyDescent="0.25">
      <c r="A153" s="2">
        <v>1.6269380286116648</v>
      </c>
      <c r="B153" s="2">
        <v>2.2622648207312768</v>
      </c>
      <c r="C153" s="2">
        <v>2.4833319312958482</v>
      </c>
      <c r="D153" s="2">
        <v>-3.4992913781209424E-2</v>
      </c>
      <c r="E153" s="2">
        <v>-4.4764510772356862</v>
      </c>
    </row>
    <row r="154" spans="1:5" x14ac:dyDescent="0.25">
      <c r="A154" s="2">
        <v>0.57313049773912705</v>
      </c>
      <c r="B154" s="2">
        <v>6.3511723425467457</v>
      </c>
      <c r="C154" s="2">
        <v>3.4195985328742227</v>
      </c>
      <c r="D154" s="2">
        <v>4.9855596012118299</v>
      </c>
      <c r="E154" s="2">
        <v>11.967881392819255</v>
      </c>
    </row>
    <row r="155" spans="1:5" x14ac:dyDescent="0.25">
      <c r="A155" s="2">
        <v>6.3278516570755272</v>
      </c>
      <c r="B155" s="2">
        <v>-1.75696741965892</v>
      </c>
      <c r="C155" s="2">
        <v>4.5396760359103885</v>
      </c>
      <c r="D155" s="2">
        <v>1.70408848215968</v>
      </c>
      <c r="E155" s="2">
        <v>8.4878459971454845</v>
      </c>
    </row>
    <row r="156" spans="1:5" x14ac:dyDescent="0.25">
      <c r="A156" s="2">
        <v>3.1148901207307023</v>
      </c>
      <c r="B156" s="2">
        <v>-1.7870598632494537</v>
      </c>
      <c r="C156" s="2">
        <v>-2.5113008538433998E-2</v>
      </c>
      <c r="D156" s="2">
        <v>0.1990672933877351</v>
      </c>
      <c r="E156" s="2">
        <v>-2.1394493954769667</v>
      </c>
    </row>
    <row r="157" spans="1:5" x14ac:dyDescent="0.25">
      <c r="A157" s="2">
        <v>6.6329071455905666</v>
      </c>
      <c r="B157" s="2">
        <v>4.8117907818212746</v>
      </c>
      <c r="C157" s="2">
        <v>6.0194840219725894</v>
      </c>
      <c r="D157" s="2">
        <v>4.9583134230260315</v>
      </c>
      <c r="E157" s="2">
        <v>12.352754977214483</v>
      </c>
    </row>
    <row r="158" spans="1:5" x14ac:dyDescent="0.25">
      <c r="A158" s="2">
        <v>2.3334185454295167</v>
      </c>
      <c r="B158" s="2">
        <v>6.492309360709962</v>
      </c>
      <c r="C158" s="2">
        <v>4.690379371440681</v>
      </c>
      <c r="D158" s="2">
        <v>2.0900395090826027</v>
      </c>
      <c r="E158" s="2">
        <v>-1.1540489753089143</v>
      </c>
    </row>
    <row r="159" spans="1:5" x14ac:dyDescent="0.25">
      <c r="A159" s="2">
        <v>8.0645703675769411</v>
      </c>
      <c r="B159" s="2">
        <v>-1.5067901938011719</v>
      </c>
      <c r="C159" s="2">
        <v>1.0344456543224072</v>
      </c>
      <c r="D159" s="2">
        <v>-0.26319807258192496</v>
      </c>
      <c r="E159" s="2">
        <v>5.1459691183629097</v>
      </c>
    </row>
    <row r="160" spans="1:5" x14ac:dyDescent="0.25">
      <c r="A160" s="2">
        <v>0.513008020751484</v>
      </c>
      <c r="B160" s="2">
        <v>-1.3869383102936017</v>
      </c>
      <c r="C160" s="2">
        <v>1.5004453931759498</v>
      </c>
      <c r="D160" s="2">
        <v>3.7109346625623374</v>
      </c>
      <c r="E160" s="2">
        <v>3.6735030275557738</v>
      </c>
    </row>
    <row r="161" spans="1:5" x14ac:dyDescent="0.25">
      <c r="A161" s="2">
        <v>2.1010452152625922</v>
      </c>
      <c r="B161" s="2">
        <v>2.9485664073372844</v>
      </c>
      <c r="C161" s="2">
        <v>3.3189249605100479</v>
      </c>
      <c r="D161" s="2">
        <v>-2.864503282637866</v>
      </c>
      <c r="E161" s="2">
        <v>-0.13427570615853524</v>
      </c>
    </row>
    <row r="162" spans="1:5" x14ac:dyDescent="0.25">
      <c r="A162" s="2">
        <v>-6.2581153096840092</v>
      </c>
      <c r="B162" s="2">
        <v>-2.5719211631538572</v>
      </c>
      <c r="C162" s="2">
        <v>-4.3786024038931268</v>
      </c>
      <c r="D162" s="2">
        <v>0.48120563389008597</v>
      </c>
      <c r="E162" s="2">
        <v>-7.0445247948018626</v>
      </c>
    </row>
    <row r="163" spans="1:5" x14ac:dyDescent="0.25">
      <c r="A163" s="2">
        <v>4.4360060580785357</v>
      </c>
      <c r="B163" s="2">
        <v>1.9026131842668843</v>
      </c>
      <c r="C163" s="2">
        <v>2.2612683905548021</v>
      </c>
      <c r="D163" s="2">
        <v>4.7836161009011935</v>
      </c>
      <c r="E163" s="2">
        <v>-2.7789801864606796</v>
      </c>
    </row>
    <row r="164" spans="1:5" x14ac:dyDescent="0.25">
      <c r="A164" s="2">
        <v>2.1936461582708366</v>
      </c>
      <c r="B164" s="2">
        <v>3.7045042668659565</v>
      </c>
      <c r="C164" s="2">
        <v>5.6234424873917419</v>
      </c>
      <c r="D164" s="2">
        <v>2.2886404490078593</v>
      </c>
      <c r="E164" s="2">
        <v>6.1209869882489523</v>
      </c>
    </row>
    <row r="165" spans="1:5" x14ac:dyDescent="0.25">
      <c r="A165" s="2">
        <v>4.5486772217597888</v>
      </c>
      <c r="B165" s="2">
        <v>7.0857027118368663</v>
      </c>
      <c r="C165" s="2">
        <v>10.351828130753059</v>
      </c>
      <c r="D165" s="2">
        <v>3.0051155651546346</v>
      </c>
      <c r="E165" s="2">
        <v>-2.8358823548484349</v>
      </c>
    </row>
    <row r="166" spans="1:5" x14ac:dyDescent="0.25">
      <c r="A166" s="2">
        <v>1.1002470301509257</v>
      </c>
      <c r="B166" s="2">
        <v>0.29690721649485036</v>
      </c>
      <c r="C166" s="2">
        <v>-1.8741933999840084</v>
      </c>
      <c r="D166" s="2">
        <v>1.5910042898617749</v>
      </c>
      <c r="E166" s="2">
        <v>-5.0433039256842305</v>
      </c>
    </row>
    <row r="167" spans="1:5" x14ac:dyDescent="0.25">
      <c r="A167" s="2">
        <v>14.627122757682795</v>
      </c>
      <c r="B167" s="2">
        <v>11.672724282542548</v>
      </c>
      <c r="C167" s="2">
        <v>7.6460314475744635</v>
      </c>
      <c r="D167" s="2">
        <v>4.9952962865544954</v>
      </c>
      <c r="E167" s="2">
        <v>-5.1466970669020773</v>
      </c>
    </row>
    <row r="168" spans="1:5" x14ac:dyDescent="0.25">
      <c r="A168" s="2">
        <v>3.3782558394046536</v>
      </c>
      <c r="B168" s="2">
        <v>4.4266346207656255</v>
      </c>
      <c r="C168" s="2">
        <v>-4.4569012627772358</v>
      </c>
      <c r="D168" s="2">
        <v>0.40985132733376256</v>
      </c>
      <c r="E168" s="2">
        <v>-0.78091598132440709</v>
      </c>
    </row>
    <row r="169" spans="1:5" x14ac:dyDescent="0.25">
      <c r="A169" s="2">
        <v>4.7892708717719037</v>
      </c>
      <c r="B169" s="2">
        <v>-0.971770152290374</v>
      </c>
      <c r="C169" s="2">
        <v>6.6076010228362723</v>
      </c>
      <c r="D169" s="2">
        <v>3.0563256975950934</v>
      </c>
      <c r="E169" s="2">
        <v>6.2353345332068866</v>
      </c>
    </row>
    <row r="170" spans="1:5" x14ac:dyDescent="0.25">
      <c r="A170" s="2">
        <v>3.2137579088348076</v>
      </c>
      <c r="B170" s="2">
        <v>4.2925500099687612</v>
      </c>
      <c r="C170" s="2">
        <v>5.6840400555967605</v>
      </c>
      <c r="D170" s="2">
        <v>3.7147994378204583</v>
      </c>
      <c r="E170" s="2">
        <v>1.975222896220304</v>
      </c>
    </row>
    <row r="171" spans="1:5" x14ac:dyDescent="0.25">
      <c r="A171" s="2">
        <v>11.492668614671404</v>
      </c>
      <c r="B171" s="2">
        <v>5.8006213911113607</v>
      </c>
      <c r="C171" s="2">
        <v>4.5761170700959806</v>
      </c>
      <c r="D171" s="2">
        <v>-0.3325947945634084</v>
      </c>
      <c r="E171" s="2">
        <v>5.5494853583396315</v>
      </c>
    </row>
    <row r="172" spans="1:5" x14ac:dyDescent="0.25">
      <c r="A172" s="2">
        <v>-6.2231433624868497</v>
      </c>
      <c r="B172" s="2">
        <v>3.7008388235304195</v>
      </c>
      <c r="C172" s="2">
        <v>1.5382973818970243</v>
      </c>
      <c r="D172" s="2">
        <v>5.6673460603605337</v>
      </c>
      <c r="E172" s="2">
        <v>-6.8974210432473386</v>
      </c>
    </row>
    <row r="173" spans="1:5" x14ac:dyDescent="0.25">
      <c r="A173" s="2">
        <v>7.9107491119846811</v>
      </c>
      <c r="B173" s="2">
        <v>5.9570125328255532</v>
      </c>
      <c r="C173" s="2">
        <v>5.2404246085574764</v>
      </c>
      <c r="D173" s="2">
        <v>9.1030275801822143</v>
      </c>
      <c r="E173" s="2">
        <v>-1.138606047638923</v>
      </c>
    </row>
    <row r="174" spans="1:5" x14ac:dyDescent="0.25">
      <c r="A174" s="2">
        <v>0.69671704492261211</v>
      </c>
      <c r="B174" s="2">
        <v>-5.2633021438007335</v>
      </c>
      <c r="C174" s="2">
        <v>2.0218616097068844</v>
      </c>
      <c r="D174" s="2">
        <v>-7.3039683631965957</v>
      </c>
      <c r="E174" s="2">
        <v>-9.9933725210816302</v>
      </c>
    </row>
    <row r="175" spans="1:5" x14ac:dyDescent="0.25">
      <c r="A175" s="2">
        <v>8.0530899388067461</v>
      </c>
      <c r="B175" s="2">
        <v>6.2154854825151169</v>
      </c>
      <c r="C175" s="2">
        <v>1.496570685713428</v>
      </c>
      <c r="D175" s="2">
        <v>6.2620460792516948</v>
      </c>
      <c r="E175" s="2">
        <v>-3.9344900740983793</v>
      </c>
    </row>
    <row r="176" spans="1:5" x14ac:dyDescent="0.25">
      <c r="A176" s="2">
        <v>14.433592923694757</v>
      </c>
      <c r="B176" s="2">
        <v>17.33811253271368</v>
      </c>
      <c r="C176" s="2">
        <v>8.4321868897180803</v>
      </c>
      <c r="D176" s="2">
        <v>12.052762363496434</v>
      </c>
      <c r="E176" s="2">
        <v>6.4088065901708804</v>
      </c>
    </row>
    <row r="177" spans="1:5" x14ac:dyDescent="0.25">
      <c r="A177" s="2">
        <v>6.1552698515259232</v>
      </c>
      <c r="B177" s="2">
        <v>5.2972854670018137</v>
      </c>
      <c r="C177" s="2">
        <v>5.2027386872671286</v>
      </c>
      <c r="D177" s="2">
        <v>3.5184142694524865</v>
      </c>
      <c r="E177" s="2">
        <v>-1.6062333607889956</v>
      </c>
    </row>
    <row r="178" spans="1:5" x14ac:dyDescent="0.25">
      <c r="A178" s="2">
        <v>0.68850191092767243</v>
      </c>
      <c r="B178" s="2">
        <v>5.5667913557051394</v>
      </c>
      <c r="C178" s="2">
        <v>-0.82629962314800887</v>
      </c>
      <c r="D178" s="2">
        <v>-0.88675699862869295</v>
      </c>
      <c r="E178" s="2">
        <v>-2.1722687330156742</v>
      </c>
    </row>
    <row r="179" spans="1:5" x14ac:dyDescent="0.25">
      <c r="A179" s="2">
        <v>2.6333784052008826</v>
      </c>
      <c r="B179" s="2">
        <v>10.060403349271443</v>
      </c>
      <c r="C179" s="2">
        <v>4.3141114274095163</v>
      </c>
      <c r="D179" s="2">
        <v>-0.7599537980154889</v>
      </c>
      <c r="E179" s="2">
        <v>1.5806489089372255</v>
      </c>
    </row>
    <row r="180" spans="1:5" x14ac:dyDescent="0.25">
      <c r="A180" s="2">
        <v>5.481959944169879</v>
      </c>
      <c r="B180" s="2">
        <v>0.11449109197505698</v>
      </c>
      <c r="C180" s="2">
        <v>-0.97447101147564419</v>
      </c>
      <c r="D180" s="2">
        <v>-5.1330572469421396E-2</v>
      </c>
      <c r="E180" s="2">
        <v>2.676714336307191</v>
      </c>
    </row>
    <row r="181" spans="1:5" x14ac:dyDescent="0.25">
      <c r="A181" s="2">
        <v>-18.13335273262064</v>
      </c>
      <c r="B181" s="2">
        <v>-18.369425551373546</v>
      </c>
      <c r="C181" s="2">
        <v>-13.904778102175994</v>
      </c>
      <c r="D181" s="2">
        <v>-9.3795652192331715</v>
      </c>
      <c r="E181" s="2">
        <v>-13.346326009653097</v>
      </c>
    </row>
    <row r="182" spans="1:5" x14ac:dyDescent="0.25">
      <c r="A182" s="2">
        <v>-12.553924373486586</v>
      </c>
      <c r="B182" s="2">
        <v>-4.1295452027825181</v>
      </c>
      <c r="C182" s="2">
        <v>6.5888503807042547</v>
      </c>
      <c r="D182" s="2">
        <v>-3.4733348520336964</v>
      </c>
      <c r="E182" s="2">
        <v>-6.2060846331011152</v>
      </c>
    </row>
    <row r="183" spans="1:5" x14ac:dyDescent="0.25">
      <c r="A183" s="2">
        <v>12.061962129524218</v>
      </c>
      <c r="B183" s="2">
        <v>4.964311808792111</v>
      </c>
      <c r="C183" s="2">
        <v>7.7551401432938896</v>
      </c>
      <c r="D183" s="2">
        <v>7.6629747006385696</v>
      </c>
      <c r="E183" s="2">
        <v>-1.7580074403425766E-2</v>
      </c>
    </row>
    <row r="184" spans="1:5" x14ac:dyDescent="0.25">
      <c r="A184" s="2">
        <v>7.8697369606148575</v>
      </c>
      <c r="B184" s="2">
        <v>6.497697827025557</v>
      </c>
      <c r="C184" s="2">
        <v>6.8056907420336348</v>
      </c>
      <c r="D184" s="2">
        <v>5.9918463498540051</v>
      </c>
      <c r="E184" s="2">
        <v>10.32405963150979</v>
      </c>
    </row>
    <row r="185" spans="1:5" x14ac:dyDescent="0.25">
      <c r="A185" s="2">
        <v>2.9083993920102484</v>
      </c>
      <c r="B185" s="2">
        <v>-5.8924820099800712E-2</v>
      </c>
      <c r="C185" s="2">
        <v>10.495011889517837</v>
      </c>
      <c r="D185" s="2">
        <v>2.5780256846039302</v>
      </c>
      <c r="E185" s="2">
        <v>-0.99636602313028666</v>
      </c>
    </row>
    <row r="186" spans="1:5" x14ac:dyDescent="0.25">
      <c r="A186" s="2">
        <v>-1.1916037444253069</v>
      </c>
      <c r="B186" s="2">
        <v>-7.22867763364063</v>
      </c>
      <c r="C186" s="2">
        <v>-2.7897523311808414</v>
      </c>
      <c r="D186" s="2">
        <v>4.8232455276314496</v>
      </c>
      <c r="E186" s="2">
        <v>-0.18504205855394737</v>
      </c>
    </row>
    <row r="187" spans="1:5" x14ac:dyDescent="0.25">
      <c r="A187" s="2">
        <v>1.0402916816326511</v>
      </c>
      <c r="B187" s="2">
        <v>-4.1699739710417099</v>
      </c>
      <c r="C187" s="2">
        <v>4.1612552339821116</v>
      </c>
      <c r="D187" s="2">
        <v>2.332543284797433</v>
      </c>
      <c r="E187" s="2">
        <v>13.675315948060952</v>
      </c>
    </row>
    <row r="188" spans="1:5" x14ac:dyDescent="0.25">
      <c r="A188" s="2">
        <v>2.6295974002567375</v>
      </c>
      <c r="B188" s="2">
        <v>4.3554678111827281</v>
      </c>
      <c r="C188" s="2">
        <v>3.6202086023133275</v>
      </c>
      <c r="D188" s="2">
        <v>4.1436508346224654</v>
      </c>
      <c r="E188" s="2">
        <v>5.010949748624892</v>
      </c>
    </row>
    <row r="189" spans="1:5" x14ac:dyDescent="0.25">
      <c r="A189" s="2">
        <v>-4.818844210006902</v>
      </c>
      <c r="B189" s="2">
        <v>-1.333773919312687</v>
      </c>
      <c r="C189" s="2">
        <v>-2.3245907812736286</v>
      </c>
      <c r="D189" s="2">
        <v>-5.1363638435539292</v>
      </c>
      <c r="E189" s="2">
        <v>-3.7017263245978387</v>
      </c>
    </row>
    <row r="190" spans="1:5" x14ac:dyDescent="0.25">
      <c r="A190" s="2">
        <v>0.26221020621958524</v>
      </c>
      <c r="B190" s="2">
        <v>4.6128448436257745</v>
      </c>
      <c r="C190" s="2">
        <v>5.3815099228921666</v>
      </c>
      <c r="D190" s="2">
        <v>1.9800605008058894</v>
      </c>
      <c r="E190" s="2">
        <v>8.8002679296775046</v>
      </c>
    </row>
    <row r="191" spans="1:5" x14ac:dyDescent="0.25">
      <c r="A191" s="2">
        <v>-0.13914478734837554</v>
      </c>
      <c r="B191" s="2">
        <v>-6.0653057423211898</v>
      </c>
      <c r="C191" s="2">
        <v>-3.2388293673254673</v>
      </c>
      <c r="D191" s="2">
        <v>-1.2223753031864482</v>
      </c>
      <c r="E191" s="2">
        <v>4.2943368913218931</v>
      </c>
    </row>
    <row r="192" spans="1:5" x14ac:dyDescent="0.25">
      <c r="A192" s="2">
        <v>1.4015265639423102</v>
      </c>
      <c r="B192" s="2">
        <v>3.6708339587254968</v>
      </c>
      <c r="C192" s="2">
        <v>-0.6288957328529674</v>
      </c>
      <c r="D192" s="2">
        <v>0.35628926120734156</v>
      </c>
      <c r="E192" s="2">
        <v>-5.1170987197614242</v>
      </c>
    </row>
    <row r="193" spans="1:5" x14ac:dyDescent="0.25">
      <c r="A193" s="2">
        <v>2.2348392995013513</v>
      </c>
      <c r="B193" s="2">
        <v>6.931351935064396</v>
      </c>
      <c r="C193" s="2">
        <v>3.3821732298526386</v>
      </c>
      <c r="D193" s="2">
        <v>-0.77191282401059058</v>
      </c>
      <c r="E193" s="2">
        <v>5.3064733201574077</v>
      </c>
    </row>
    <row r="194" spans="1:5" x14ac:dyDescent="0.25">
      <c r="A194" s="2">
        <v>3.6435463247462532</v>
      </c>
      <c r="B194" s="2">
        <v>14.725490123010534</v>
      </c>
      <c r="C194" s="2">
        <v>2.1468099649832291</v>
      </c>
      <c r="D194" s="2">
        <v>4.2977747114860927</v>
      </c>
      <c r="E194" s="2">
        <v>2.1250847419288097</v>
      </c>
    </row>
    <row r="195" spans="1:5" x14ac:dyDescent="0.25">
      <c r="A195" s="2">
        <v>2.7869143970673007</v>
      </c>
      <c r="B195" s="2">
        <v>18.850239443222776</v>
      </c>
      <c r="C195" s="2">
        <v>6.9760447725379358</v>
      </c>
      <c r="D195" s="2">
        <v>4.4581085621374577</v>
      </c>
      <c r="E195" s="2">
        <v>6.3934698557361918</v>
      </c>
    </row>
    <row r="196" spans="1:5" x14ac:dyDescent="0.25">
      <c r="A196" s="2">
        <v>-9.2139266609989328</v>
      </c>
      <c r="B196" s="2">
        <v>18.094118440159534</v>
      </c>
      <c r="C196" s="2">
        <v>-7.6016367524828263</v>
      </c>
      <c r="D196" s="2">
        <v>-10.184541208029504</v>
      </c>
      <c r="E196" s="2">
        <v>3.686067094992531E-2</v>
      </c>
    </row>
    <row r="197" spans="1:5" x14ac:dyDescent="0.25">
      <c r="A197" s="2">
        <v>7.7220797730435065</v>
      </c>
      <c r="B197" s="2">
        <v>-7.7804387260413428</v>
      </c>
      <c r="C197" s="2">
        <v>6.429049665619992</v>
      </c>
      <c r="D197" s="2">
        <v>3.8045387125119081</v>
      </c>
      <c r="E197" s="2">
        <v>-1.4957959430253343</v>
      </c>
    </row>
    <row r="198" spans="1:5" x14ac:dyDescent="0.25">
      <c r="A198" s="2">
        <v>3.9729397744597432</v>
      </c>
      <c r="B198" s="2">
        <v>-8.2741651344835798</v>
      </c>
      <c r="C198" s="2">
        <v>-2.6423313436013265</v>
      </c>
      <c r="D198" s="2">
        <v>1.1519500314705367</v>
      </c>
      <c r="E198" s="2">
        <v>-5.4310428927119858</v>
      </c>
    </row>
    <row r="199" spans="1:5" x14ac:dyDescent="0.25">
      <c r="A199" s="2">
        <v>-0.33423738505556694</v>
      </c>
      <c r="B199" s="2">
        <v>-4.2800243491503922</v>
      </c>
      <c r="C199" s="2">
        <v>2.4012976090352107</v>
      </c>
      <c r="D199" s="2">
        <v>-0.34470304619297421</v>
      </c>
      <c r="E199" s="2">
        <v>5.0295774398020274</v>
      </c>
    </row>
    <row r="200" spans="1:5" x14ac:dyDescent="0.25">
      <c r="A200" s="2">
        <v>3.0142345447309378</v>
      </c>
      <c r="B200" s="2">
        <v>-3.6730134382606963</v>
      </c>
      <c r="C200" s="2">
        <v>-1.7853631292782077</v>
      </c>
      <c r="D200" s="2">
        <v>1.7679697097417495</v>
      </c>
      <c r="E200" s="2">
        <v>-8.3488480335117483</v>
      </c>
    </row>
    <row r="201" spans="1:5" x14ac:dyDescent="0.25">
      <c r="A201" s="2">
        <v>-4.2721482526684662</v>
      </c>
      <c r="B201" s="2">
        <v>-9.1434011250540816</v>
      </c>
      <c r="C201" s="2">
        <v>-0.51873822678544868</v>
      </c>
      <c r="D201" s="2">
        <v>-0.4328593887908152</v>
      </c>
      <c r="E201" s="2">
        <v>-0.19760700982710799</v>
      </c>
    </row>
    <row r="202" spans="1:5" x14ac:dyDescent="0.25">
      <c r="A202" s="2">
        <v>4.9773727846532241</v>
      </c>
      <c r="B202" s="2">
        <v>3.3141668399343738</v>
      </c>
      <c r="C202" s="2">
        <v>-0.71022041546849346</v>
      </c>
      <c r="D202" s="2">
        <v>2.5423963572461186</v>
      </c>
      <c r="E202" s="2">
        <v>-4.8025693951443591</v>
      </c>
    </row>
    <row r="203" spans="1:5" x14ac:dyDescent="0.25">
      <c r="A203" s="2">
        <v>2.6514124018149001</v>
      </c>
      <c r="B203" s="2">
        <v>-15.159080839334441</v>
      </c>
      <c r="C203" s="2">
        <v>-8.0378010413960386</v>
      </c>
      <c r="D203" s="2">
        <v>-2.2529861828103592</v>
      </c>
      <c r="E203" s="2">
        <v>-5.8295268242147182</v>
      </c>
    </row>
    <row r="204" spans="1:5" x14ac:dyDescent="0.25">
      <c r="A204" s="2">
        <v>-0.93771714116514404</v>
      </c>
      <c r="B204" s="2">
        <v>4.9049140422942372</v>
      </c>
      <c r="C204" s="2">
        <v>3.4617223835794713</v>
      </c>
      <c r="D204" s="2">
        <v>1.024210214637475</v>
      </c>
      <c r="E204" s="2">
        <v>0.61086138550411995</v>
      </c>
    </row>
    <row r="205" spans="1:5" x14ac:dyDescent="0.25">
      <c r="A205" s="2">
        <v>-4.6185415263328737</v>
      </c>
      <c r="B205" s="2">
        <v>-11.072924688627088</v>
      </c>
      <c r="C205" s="2">
        <v>-8.76441029800033</v>
      </c>
      <c r="D205" s="2">
        <v>-5.8369009307432451</v>
      </c>
      <c r="E205" s="2">
        <v>-3.6611896307114309</v>
      </c>
    </row>
    <row r="206" spans="1:5" x14ac:dyDescent="0.25">
      <c r="A206" s="2">
        <v>-8.7396148287946236</v>
      </c>
      <c r="B206" s="2">
        <v>-9.8077627120900388</v>
      </c>
      <c r="C206" s="2">
        <v>-7.3934828362889977</v>
      </c>
      <c r="D206" s="2">
        <v>-4.1452722379113389</v>
      </c>
      <c r="E206" s="2">
        <v>3.9641210991612565</v>
      </c>
    </row>
    <row r="207" spans="1:5" x14ac:dyDescent="0.25">
      <c r="A207" s="2">
        <v>3.9862691071998371</v>
      </c>
      <c r="B207" s="2">
        <v>4.7266833804808419</v>
      </c>
      <c r="C207" s="2">
        <v>9.2733142540248217</v>
      </c>
      <c r="D207" s="2">
        <v>6.480702698231382</v>
      </c>
      <c r="E207" s="2">
        <v>5.0618536408097849</v>
      </c>
    </row>
    <row r="208" spans="1:5" x14ac:dyDescent="0.25">
      <c r="A208" s="2">
        <v>5.0957635482602353</v>
      </c>
      <c r="B208" s="2">
        <v>1.8340225452638941</v>
      </c>
      <c r="C208" s="2">
        <v>1.1639808641215492</v>
      </c>
      <c r="D208" s="2">
        <v>-1.3293010332237887</v>
      </c>
      <c r="E208" s="2">
        <v>-0.89874037990372546</v>
      </c>
    </row>
    <row r="209" spans="1:5" x14ac:dyDescent="0.25">
      <c r="A209" s="2">
        <v>-5.4897103235685227</v>
      </c>
      <c r="B209" s="2">
        <v>-2.4969602854459856</v>
      </c>
      <c r="C209" s="2">
        <v>-3.0951286320630067</v>
      </c>
      <c r="D209" s="2">
        <v>-3.5096502384857016</v>
      </c>
      <c r="E209" s="2">
        <v>-4.416876083440946</v>
      </c>
    </row>
    <row r="210" spans="1:5" x14ac:dyDescent="0.25">
      <c r="A210" s="2">
        <v>-5.9347377363766567</v>
      </c>
      <c r="B210" s="2">
        <v>-4.9736861716662348</v>
      </c>
      <c r="C210" s="2">
        <v>-1.3967441605700994</v>
      </c>
      <c r="D210" s="2">
        <v>-3.5273870907414557</v>
      </c>
      <c r="E210" s="2">
        <v>-8.1188736444517264</v>
      </c>
    </row>
    <row r="211" spans="1:5" x14ac:dyDescent="0.25">
      <c r="A211" s="2">
        <v>-2.2691274314916074</v>
      </c>
      <c r="B211" s="2">
        <v>-2.2140180061215458</v>
      </c>
      <c r="C211" s="2">
        <v>-4.9700598802395177</v>
      </c>
      <c r="D211" s="2">
        <v>0.96858615926404701</v>
      </c>
      <c r="E211" s="2">
        <v>-4.224189464655046</v>
      </c>
    </row>
    <row r="212" spans="1:5" x14ac:dyDescent="0.25">
      <c r="A212" s="2">
        <v>-7.6764114132069068</v>
      </c>
      <c r="B212" s="2">
        <v>-18.747130958154951</v>
      </c>
      <c r="C212" s="2">
        <v>-8.8416708784564442</v>
      </c>
      <c r="D212" s="2">
        <v>-9.005743809778064</v>
      </c>
      <c r="E212" s="2">
        <v>-11.138841750643817</v>
      </c>
    </row>
    <row r="213" spans="1:5" x14ac:dyDescent="0.25">
      <c r="A213" s="2">
        <v>1.8439273067482191</v>
      </c>
      <c r="B213" s="2">
        <v>8.8547468440699486</v>
      </c>
      <c r="C213" s="2">
        <v>3.3339504697087374</v>
      </c>
      <c r="D213" s="2">
        <v>3.6854880165113562</v>
      </c>
      <c r="E213" s="2">
        <v>4.7625625904137729</v>
      </c>
    </row>
    <row r="214" spans="1:5" x14ac:dyDescent="0.25">
      <c r="A214" s="2">
        <v>2.9077825472545618</v>
      </c>
      <c r="B214" s="2">
        <v>3.6246520902220793</v>
      </c>
      <c r="C214" s="2">
        <v>5.8214498251286582</v>
      </c>
      <c r="D214" s="2">
        <v>3.3577194184277008</v>
      </c>
      <c r="E214" s="2">
        <v>-1.0919629889642941</v>
      </c>
    </row>
    <row r="215" spans="1:5" x14ac:dyDescent="0.25">
      <c r="A215" s="2">
        <v>2.063302279513179</v>
      </c>
      <c r="B215" s="2">
        <v>3.2469415647188229</v>
      </c>
      <c r="C215" s="2">
        <v>1.7738880645535711</v>
      </c>
      <c r="D215" s="2">
        <v>0.87250376268579544</v>
      </c>
      <c r="E215" s="2">
        <v>-0.12383709085173067</v>
      </c>
    </row>
    <row r="216" spans="1:5" x14ac:dyDescent="0.25">
      <c r="A216" s="2">
        <v>-1.3545651402117502</v>
      </c>
      <c r="B216" s="2">
        <v>0.89037082237622289</v>
      </c>
      <c r="C216" s="2">
        <v>-5.0362801043902614</v>
      </c>
      <c r="D216" s="2">
        <v>-2.4444627184250769</v>
      </c>
      <c r="E216" s="2">
        <v>-5.3996559471324153</v>
      </c>
    </row>
    <row r="217" spans="1:5" x14ac:dyDescent="0.25">
      <c r="A217" s="2">
        <v>1.1310665524993739</v>
      </c>
      <c r="B217" s="2">
        <v>-1.6507820694058108</v>
      </c>
      <c r="C217" s="2">
        <v>0.5925100776810015</v>
      </c>
      <c r="D217" s="2">
        <v>0.14256585216330925</v>
      </c>
      <c r="E217" s="2">
        <v>3.6233950647340092</v>
      </c>
    </row>
    <row r="218" spans="1:5" x14ac:dyDescent="0.25">
      <c r="A218" s="2">
        <v>5.076769613385645</v>
      </c>
      <c r="B218" s="2">
        <v>5.1999521686397081</v>
      </c>
      <c r="C218" s="2">
        <v>3.7288725935535609</v>
      </c>
      <c r="D218" s="2">
        <v>3.9225651004974278</v>
      </c>
      <c r="E218" s="2">
        <v>4.8119845072894023</v>
      </c>
    </row>
    <row r="219" spans="1:5" x14ac:dyDescent="0.25">
      <c r="A219" s="2">
        <v>-0.76259472856393373</v>
      </c>
      <c r="B219" s="2">
        <v>-6.5948936124146833</v>
      </c>
      <c r="C219" s="2">
        <v>-7.512163119245538</v>
      </c>
      <c r="D219" s="2">
        <v>-2.1484028282114935</v>
      </c>
      <c r="E219" s="2">
        <v>3.0055087269543481</v>
      </c>
    </row>
    <row r="220" spans="1:5" x14ac:dyDescent="0.25">
      <c r="A220" s="2">
        <v>0.82382888316942049</v>
      </c>
      <c r="B220" s="2">
        <v>-5.7953317797434414</v>
      </c>
      <c r="C220" s="2">
        <v>0.46291041907950475</v>
      </c>
      <c r="D220" s="2">
        <v>-1.8235938454934704</v>
      </c>
      <c r="E220" s="2">
        <v>3.1674043361285591</v>
      </c>
    </row>
    <row r="221" spans="1:5" x14ac:dyDescent="0.25">
      <c r="A221" s="2">
        <v>-9.2227767300972605</v>
      </c>
      <c r="B221" s="2">
        <v>-9.8759172195614955</v>
      </c>
      <c r="C221" s="2">
        <v>-7.7176127896949041</v>
      </c>
      <c r="D221" s="2">
        <v>-8.0902166588797328</v>
      </c>
      <c r="E221" s="2">
        <v>-9.3106948496904458</v>
      </c>
    </row>
    <row r="222" spans="1:5" x14ac:dyDescent="0.25">
      <c r="A222" s="2">
        <v>-11.279561574691144</v>
      </c>
      <c r="B222" s="2">
        <v>-15.71286907632558</v>
      </c>
      <c r="C222" s="2">
        <v>-8.5601633746662209</v>
      </c>
      <c r="D222" s="2">
        <v>-9.9988705528471549</v>
      </c>
      <c r="E222" s="2">
        <v>-8.4758377723074432</v>
      </c>
    </row>
    <row r="223" spans="1:5" x14ac:dyDescent="0.25">
      <c r="A223" s="2">
        <v>-2.0288903068768889</v>
      </c>
      <c r="B223" s="2">
        <v>-7.6675601356283662</v>
      </c>
      <c r="C223" s="2">
        <v>2.2173504755594711</v>
      </c>
      <c r="D223" s="2">
        <v>0.73680041930225393</v>
      </c>
      <c r="E223" s="2">
        <v>-0.71923641033194097</v>
      </c>
    </row>
    <row r="224" spans="1:5" x14ac:dyDescent="0.25">
      <c r="A224" s="2">
        <v>-4.1255484987222442</v>
      </c>
      <c r="B224" s="2">
        <v>-24.380403963710666</v>
      </c>
      <c r="C224" s="2">
        <v>-10.200303774709592</v>
      </c>
      <c r="D224" s="2">
        <v>-7.1794811294345076</v>
      </c>
      <c r="E224" s="2">
        <v>7.3134241033794307E-3</v>
      </c>
    </row>
    <row r="225" spans="1:5" x14ac:dyDescent="0.25">
      <c r="A225" s="2">
        <v>-2.8650612031419795</v>
      </c>
      <c r="B225" s="2">
        <v>13.320166812746562</v>
      </c>
      <c r="C225" s="2">
        <v>6.8984491893744115</v>
      </c>
      <c r="D225" s="2">
        <v>0.57374359889089765</v>
      </c>
      <c r="E225" s="2">
        <v>-7.9185009830612607</v>
      </c>
    </row>
    <row r="226" spans="1:5" x14ac:dyDescent="0.25">
      <c r="A226" s="2">
        <v>7.1598375502888754</v>
      </c>
      <c r="B226" s="2">
        <v>9.0151985905299377</v>
      </c>
      <c r="C226" s="2">
        <v>6.635840812072237</v>
      </c>
      <c r="D226" s="2">
        <v>6.3781191885708024</v>
      </c>
      <c r="E226" s="2">
        <v>4.0946566721540432</v>
      </c>
    </row>
    <row r="227" spans="1:5" x14ac:dyDescent="0.25">
      <c r="A227" s="2">
        <v>-10.314771044223962</v>
      </c>
      <c r="B227" s="2">
        <v>-13.6930595865902</v>
      </c>
      <c r="C227" s="2">
        <v>-6.4980652947131414</v>
      </c>
      <c r="D227" s="2">
        <v>-8.0854813303315503</v>
      </c>
      <c r="E227" s="2">
        <v>-4.9768503380896956</v>
      </c>
    </row>
    <row r="228" spans="1:5" x14ac:dyDescent="0.25">
      <c r="A228" s="2">
        <v>-5.2443209999008058</v>
      </c>
      <c r="B228" s="2">
        <v>-2.493209097633593</v>
      </c>
      <c r="C228" s="2">
        <v>-0.98868755148603604</v>
      </c>
      <c r="D228" s="2">
        <v>-8.5596002117062238</v>
      </c>
      <c r="E228" s="2">
        <v>-3.3993427730846717</v>
      </c>
    </row>
    <row r="229" spans="1:5" x14ac:dyDescent="0.25">
      <c r="A229" s="2">
        <v>-4.155137181333961</v>
      </c>
      <c r="B229" s="2">
        <v>-4.9542284497596691</v>
      </c>
      <c r="C229" s="2">
        <v>-2.4640077397052971</v>
      </c>
      <c r="D229" s="2">
        <v>5.1690837227598978</v>
      </c>
      <c r="E229" s="2">
        <v>-1.1512595463353368</v>
      </c>
    </row>
    <row r="230" spans="1:5" x14ac:dyDescent="0.25">
      <c r="A230" s="2">
        <v>2.1973460931506419</v>
      </c>
      <c r="B230" s="2">
        <v>-0.4933112891488296</v>
      </c>
      <c r="C230" s="2">
        <v>2.8004373393792146</v>
      </c>
      <c r="D230" s="2">
        <v>2.1383656108366416</v>
      </c>
      <c r="E230" s="2">
        <v>-0.32227763683886745</v>
      </c>
    </row>
    <row r="231" spans="1:5" x14ac:dyDescent="0.25">
      <c r="A231" s="2">
        <v>8.1873470061295723</v>
      </c>
      <c r="B231" s="2">
        <v>14.480752768622052</v>
      </c>
      <c r="C231" s="2">
        <v>6.4669468899367892</v>
      </c>
      <c r="D231" s="2">
        <v>6.4086085680213252</v>
      </c>
      <c r="E231" s="2">
        <v>-7.4709367833614024</v>
      </c>
    </row>
    <row r="232" spans="1:5" x14ac:dyDescent="0.25">
      <c r="A232" s="2">
        <v>3.5681600847209913</v>
      </c>
      <c r="B232" s="2">
        <v>1.4102771685532209</v>
      </c>
      <c r="C232" s="2">
        <v>3.797562401083125</v>
      </c>
      <c r="D232" s="2">
        <v>4.522199769736841</v>
      </c>
      <c r="E232" s="2">
        <v>8.3950546538114459</v>
      </c>
    </row>
    <row r="233" spans="1:5" x14ac:dyDescent="0.25">
      <c r="A233" s="2">
        <v>3.7760238813441442</v>
      </c>
      <c r="B233" s="2">
        <v>8.7723219793570237</v>
      </c>
      <c r="C233" s="2">
        <v>2.870444127577179</v>
      </c>
      <c r="D233" s="2">
        <v>7.7945464243759074E-2</v>
      </c>
      <c r="E233" s="2">
        <v>8.5318511629918792</v>
      </c>
    </row>
    <row r="234" spans="1:5" x14ac:dyDescent="0.25">
      <c r="A234" s="2">
        <v>2.8742693735050269</v>
      </c>
      <c r="B234" s="2">
        <v>5.3358206963548902</v>
      </c>
      <c r="C234" s="2">
        <v>1.5281022418274699</v>
      </c>
      <c r="D234" s="2">
        <v>1.8912550867041424</v>
      </c>
      <c r="E234" s="2">
        <v>6.6487103441480873</v>
      </c>
    </row>
    <row r="235" spans="1:5" x14ac:dyDescent="0.25">
      <c r="A235" s="2">
        <v>2.8256991162587166</v>
      </c>
      <c r="B235" s="2">
        <v>2.4597972570669961</v>
      </c>
      <c r="C235" s="2">
        <v>2.0265382840702517</v>
      </c>
      <c r="D235" s="2">
        <v>1.4336411480299094</v>
      </c>
      <c r="E235" s="2">
        <v>4.7589636699015223</v>
      </c>
    </row>
    <row r="236" spans="1:5" x14ac:dyDescent="0.25">
      <c r="A236" s="2">
        <v>-0.4954173719314432</v>
      </c>
      <c r="B236" s="2">
        <v>-2.4164462759847698</v>
      </c>
      <c r="C236" s="2">
        <v>-0.10381850583157054</v>
      </c>
      <c r="D236" s="2">
        <v>-0.23030262140567587</v>
      </c>
      <c r="E236" s="2">
        <v>0.81400545180523243</v>
      </c>
    </row>
    <row r="237" spans="1:5" x14ac:dyDescent="0.25">
      <c r="A237" s="2">
        <v>1.6054959349139106</v>
      </c>
      <c r="B237" s="2">
        <v>9.1759613910474069</v>
      </c>
      <c r="C237" s="2">
        <v>4.3155421233142359</v>
      </c>
      <c r="D237" s="2">
        <v>2.8504598710056555</v>
      </c>
      <c r="E237" s="2">
        <v>5.1248154649693127</v>
      </c>
    </row>
    <row r="238" spans="1:5" x14ac:dyDescent="0.25">
      <c r="A238" s="2">
        <v>2.5838123263936588</v>
      </c>
      <c r="B238" s="2">
        <v>2.1418922369172368</v>
      </c>
      <c r="C238" s="2">
        <v>1.2401992539147149</v>
      </c>
      <c r="D238" s="2">
        <v>2.0441901789315815</v>
      </c>
      <c r="E238" s="2">
        <v>-4.8801239384683299</v>
      </c>
    </row>
    <row r="239" spans="1:5" x14ac:dyDescent="0.25">
      <c r="A239" s="2">
        <v>2.4690017560086304</v>
      </c>
      <c r="B239" s="2">
        <v>3.3236225804545669</v>
      </c>
      <c r="C239" s="2">
        <v>4.9785125800853161</v>
      </c>
      <c r="D239" s="2">
        <v>2.7665617478244857</v>
      </c>
      <c r="E239" s="2">
        <v>2.8622905991643135</v>
      </c>
    </row>
    <row r="240" spans="1:5" x14ac:dyDescent="0.25">
      <c r="A240" s="2">
        <v>5.8688249660858043</v>
      </c>
      <c r="B240" s="2">
        <v>5.0432384404250916</v>
      </c>
      <c r="C240" s="2">
        <v>2.2636541059900939</v>
      </c>
      <c r="D240" s="2">
        <v>-1.0427855755832767</v>
      </c>
      <c r="E240" s="2">
        <v>2.8734231767809764</v>
      </c>
    </row>
    <row r="241" spans="1:5" x14ac:dyDescent="0.25">
      <c r="A241" s="2">
        <v>0.95138713838762068</v>
      </c>
      <c r="B241" s="2">
        <v>-1.7052294820767164</v>
      </c>
      <c r="C241" s="2">
        <v>0.97510460552025258</v>
      </c>
      <c r="D241" s="2">
        <v>2.1251176367668103</v>
      </c>
      <c r="E241" s="2">
        <v>2.3429321438623272</v>
      </c>
    </row>
    <row r="242" spans="1:5" x14ac:dyDescent="0.25">
      <c r="A242" s="2">
        <v>-2.4315430454294811</v>
      </c>
      <c r="B242" s="2">
        <v>-2.4608365310575966</v>
      </c>
      <c r="C242" s="2">
        <v>-1.920617649607359</v>
      </c>
      <c r="D242" s="2">
        <v>-1.1382594442838128</v>
      </c>
      <c r="E242" s="2">
        <v>8.3437709887636444</v>
      </c>
    </row>
    <row r="243" spans="1:5" x14ac:dyDescent="0.25">
      <c r="A243" s="2">
        <v>3.8494541640844808</v>
      </c>
      <c r="B243" s="2">
        <v>1.2494499603097893</v>
      </c>
      <c r="C243" s="2">
        <v>-0.62101065800981647</v>
      </c>
      <c r="D243" s="2">
        <v>3.3470695987209691</v>
      </c>
      <c r="E243" s="2">
        <v>1.9723383401328711</v>
      </c>
    </row>
    <row r="244" spans="1:5" x14ac:dyDescent="0.25">
      <c r="A244" s="2">
        <v>-2.5443609712845081</v>
      </c>
      <c r="B244" s="2">
        <v>-3.1092888278265813</v>
      </c>
      <c r="C244" s="2">
        <v>0.7381336432681197</v>
      </c>
      <c r="D244" s="2">
        <v>-1.8407870003055316</v>
      </c>
      <c r="E244" s="2">
        <v>-5.0844770278019276</v>
      </c>
    </row>
    <row r="245" spans="1:5" x14ac:dyDescent="0.25">
      <c r="A245" s="2">
        <v>1.0891870266879993</v>
      </c>
      <c r="B245" s="2">
        <v>3.6203300335910273</v>
      </c>
      <c r="C245" s="2">
        <v>1.4502882275354032</v>
      </c>
      <c r="D245" s="2">
        <v>2.1131338534975632</v>
      </c>
      <c r="E245" s="2">
        <v>3.8265030124731392</v>
      </c>
    </row>
    <row r="246" spans="1:5" x14ac:dyDescent="0.25">
      <c r="A246" s="2">
        <v>-2.3629872641963559</v>
      </c>
      <c r="B246" s="2">
        <v>-4.7743187025299099</v>
      </c>
      <c r="C246" s="2">
        <v>-3.1188737295012641</v>
      </c>
      <c r="D246" s="2">
        <v>-2.0740177487454652</v>
      </c>
      <c r="E246" s="2">
        <v>-5.2998858760575658</v>
      </c>
    </row>
    <row r="247" spans="1:5" x14ac:dyDescent="0.25">
      <c r="A247" s="2">
        <v>-1.4377760153818193</v>
      </c>
      <c r="B247" s="2">
        <v>-0.8563697008458776</v>
      </c>
      <c r="C247" s="2">
        <v>0.94429813077719815</v>
      </c>
      <c r="D247" s="2">
        <v>2.1798258073484735</v>
      </c>
      <c r="E247" s="2">
        <v>1.3848628121377053</v>
      </c>
    </row>
    <row r="248" spans="1:5" x14ac:dyDescent="0.25">
      <c r="A248" s="2">
        <v>1.3503165073087153</v>
      </c>
      <c r="B248" s="2">
        <v>2.8033736052818092</v>
      </c>
      <c r="C248" s="2">
        <v>0.82911631566474808</v>
      </c>
      <c r="D248" s="2">
        <v>2.3301258358071411</v>
      </c>
      <c r="E248" s="2">
        <v>-3.8773009970227328</v>
      </c>
    </row>
    <row r="249" spans="1:5" x14ac:dyDescent="0.25">
      <c r="A249" s="2">
        <v>-3.1154236130012833</v>
      </c>
      <c r="B249" s="2">
        <v>-0.10071039563691227</v>
      </c>
      <c r="C249" s="2">
        <v>1.5020609267006342</v>
      </c>
      <c r="D249" s="2">
        <v>0.77363809161111385</v>
      </c>
      <c r="E249" s="2">
        <v>0.25029966406912263</v>
      </c>
    </row>
    <row r="250" spans="1:5" x14ac:dyDescent="0.25">
      <c r="A250" s="2">
        <v>3.035102311995463</v>
      </c>
      <c r="B250" s="2">
        <v>4.2959173386538412</v>
      </c>
      <c r="C250" s="2">
        <v>4.5352748296577889</v>
      </c>
      <c r="D250" s="2">
        <v>3.0071917782796951</v>
      </c>
      <c r="E250" s="2">
        <v>1.973700808401899</v>
      </c>
    </row>
    <row r="251" spans="1:5" x14ac:dyDescent="0.25">
      <c r="A251" s="2">
        <v>3.1074056465654296</v>
      </c>
      <c r="B251" s="2">
        <v>1.8023281133656692</v>
      </c>
      <c r="C251" s="2">
        <v>3.2017609936557276</v>
      </c>
      <c r="D251" s="2">
        <v>1.9126469764493774</v>
      </c>
      <c r="E251" s="2">
        <v>3.3123952395805123</v>
      </c>
    </row>
    <row r="252" spans="1:5" x14ac:dyDescent="0.25">
      <c r="A252" s="2">
        <v>0.92934373686935512</v>
      </c>
      <c r="B252" s="2">
        <v>-1.2646895871003938</v>
      </c>
      <c r="C252" s="2">
        <v>-3.388335871787254</v>
      </c>
      <c r="D252" s="2">
        <v>0.59411656178664141</v>
      </c>
      <c r="E252" s="2">
        <v>-0.82284429931657088</v>
      </c>
    </row>
    <row r="253" spans="1:5" x14ac:dyDescent="0.25">
      <c r="A253" s="2">
        <v>3.3116121236178713</v>
      </c>
      <c r="B253" s="2">
        <v>1.9970495489783346</v>
      </c>
      <c r="C253" s="2">
        <v>2.934776890695638</v>
      </c>
      <c r="D253" s="2">
        <v>3.1136788748163609</v>
      </c>
      <c r="E253" s="2">
        <v>3.2658224791655246</v>
      </c>
    </row>
    <row r="254" spans="1:5" x14ac:dyDescent="0.25">
      <c r="A254" s="2">
        <v>0.93162626944768079</v>
      </c>
      <c r="B254" s="2">
        <v>8.7132742225904267E-2</v>
      </c>
      <c r="C254" s="2">
        <v>-2.8713825684776451</v>
      </c>
      <c r="D254" s="2">
        <v>-0.30587782147190712</v>
      </c>
      <c r="E254" s="2">
        <v>6.3466242222271988E-3</v>
      </c>
    </row>
    <row r="255" spans="1:5" x14ac:dyDescent="0.25">
      <c r="A255" s="2">
        <v>-0.6268993984017277</v>
      </c>
      <c r="B255" s="2">
        <v>-3.4539121253370726</v>
      </c>
      <c r="C255" s="2">
        <v>-0.51855322307361029</v>
      </c>
      <c r="D255" s="2">
        <v>-2.5690542607323197</v>
      </c>
      <c r="E255" s="2">
        <v>-3.9778283063187625</v>
      </c>
    </row>
    <row r="256" spans="1:5" x14ac:dyDescent="0.25">
      <c r="A256" s="2">
        <v>5.2828128284786571</v>
      </c>
      <c r="B256" s="2">
        <v>6.1299346284694813</v>
      </c>
      <c r="C256" s="2">
        <v>3.925935928923713</v>
      </c>
      <c r="D256" s="2">
        <v>4.2497213344554474</v>
      </c>
      <c r="E256" s="2">
        <v>0.9577138007141458</v>
      </c>
    </row>
    <row r="257" spans="1:5" x14ac:dyDescent="0.25">
      <c r="A257" s="2">
        <v>1.7858400747682277</v>
      </c>
      <c r="B257" s="2">
        <v>3.076756772047232</v>
      </c>
      <c r="C257" s="2">
        <v>0.29680265790515742</v>
      </c>
      <c r="D257" s="2">
        <v>2.7706467331314975</v>
      </c>
      <c r="E257" s="2">
        <v>3.4037964096304671</v>
      </c>
    </row>
    <row r="258" spans="1:5" x14ac:dyDescent="0.25">
      <c r="A258" s="2">
        <v>5.6223577762979895</v>
      </c>
      <c r="B258" s="2">
        <v>4.7494060547135417</v>
      </c>
      <c r="C258" s="2">
        <v>3.0541422256026367</v>
      </c>
      <c r="D258" s="2">
        <v>3.2277481797511456</v>
      </c>
      <c r="E258" s="2">
        <v>2.3265345223269582</v>
      </c>
    </row>
    <row r="259" spans="1:5" x14ac:dyDescent="0.25">
      <c r="A259" s="2">
        <v>-2.0350537951728254</v>
      </c>
      <c r="B259" s="2">
        <v>-1.7532565959987101</v>
      </c>
      <c r="C259" s="2">
        <v>-1.6396392290835675</v>
      </c>
      <c r="D259" s="2">
        <v>-0.50716373828308492</v>
      </c>
      <c r="E259" s="2">
        <v>4.7940220647615179</v>
      </c>
    </row>
    <row r="260" spans="1:5" x14ac:dyDescent="0.25">
      <c r="A260" s="2">
        <v>6.0972713240184797</v>
      </c>
      <c r="B260" s="2">
        <v>3.024049157346167</v>
      </c>
      <c r="C260" s="2">
        <v>1.4156636852149382</v>
      </c>
      <c r="D260" s="2">
        <v>4.8480081388203402</v>
      </c>
      <c r="E260" s="2">
        <v>15.161430403651737</v>
      </c>
    </row>
    <row r="261" spans="1:5" x14ac:dyDescent="0.25">
      <c r="A261" s="2">
        <v>-8.7957470676703411E-2</v>
      </c>
      <c r="B261" s="2">
        <v>-4.7926128406341864</v>
      </c>
      <c r="C261" s="2">
        <v>-2.210874574889881</v>
      </c>
      <c r="D261" s="2">
        <v>-4.8593704698103517</v>
      </c>
      <c r="E261" s="2">
        <v>-1.3291582402549273</v>
      </c>
    </row>
    <row r="262" spans="1:5" x14ac:dyDescent="0.25">
      <c r="A262" s="2">
        <v>8.3242665331238719</v>
      </c>
      <c r="B262" s="2">
        <v>6.8217654894924307</v>
      </c>
      <c r="C262" s="2">
        <v>5.4337036815283062</v>
      </c>
      <c r="D262" s="2">
        <v>5.848810872191768</v>
      </c>
      <c r="E262" s="2">
        <v>9.7258702515419646</v>
      </c>
    </row>
    <row r="263" spans="1:5" x14ac:dyDescent="0.25">
      <c r="A263" s="2">
        <v>2.4425883052221926</v>
      </c>
      <c r="B263" s="2">
        <v>5.1429625798617238</v>
      </c>
      <c r="C263" s="2">
        <v>-4.5965104209646994E-2</v>
      </c>
      <c r="D263" s="2">
        <v>2.8961244328801672</v>
      </c>
      <c r="E263" s="2">
        <v>7.2663460855500492</v>
      </c>
    </row>
    <row r="264" spans="1:5" x14ac:dyDescent="0.25">
      <c r="A264" s="2">
        <v>2.1431737290981174</v>
      </c>
      <c r="B264" s="2">
        <v>4.8447178121744612</v>
      </c>
      <c r="C264" s="2">
        <v>2.4404299828258638</v>
      </c>
      <c r="D264" s="2">
        <v>2.4795721765305556</v>
      </c>
      <c r="E264" s="2">
        <v>2.0217503559133316</v>
      </c>
    </row>
    <row r="265" spans="1:5" x14ac:dyDescent="0.25">
      <c r="A265" s="2">
        <v>1.4696774651646838</v>
      </c>
      <c r="B265" s="2">
        <v>2.9806886009068294</v>
      </c>
      <c r="C265" s="2">
        <v>-9.5277745446517889E-2</v>
      </c>
      <c r="D265" s="2">
        <v>0.34151351289418003</v>
      </c>
      <c r="E265" s="2">
        <v>-0.61687487261121321</v>
      </c>
    </row>
    <row r="266" spans="1:5" x14ac:dyDescent="0.25">
      <c r="A266" s="2">
        <v>1.5800077060904021</v>
      </c>
      <c r="B266" s="2">
        <v>2.4140943203008458</v>
      </c>
      <c r="C266" s="2">
        <v>1.8443656966750419</v>
      </c>
      <c r="D266" s="2">
        <v>3.8283732200334568</v>
      </c>
      <c r="E266" s="2">
        <v>3.3472750614545537</v>
      </c>
    </row>
    <row r="267" spans="1:5" x14ac:dyDescent="0.25">
      <c r="A267" s="2">
        <v>1.8737216313790903</v>
      </c>
      <c r="B267" s="2">
        <v>1.7622436885704857</v>
      </c>
      <c r="C267" s="2">
        <v>0.7593249206699294</v>
      </c>
      <c r="D267" s="2">
        <v>1.1187498195716037</v>
      </c>
      <c r="E267" s="2">
        <v>0.69350326408278173</v>
      </c>
    </row>
    <row r="268" spans="1:5" x14ac:dyDescent="0.25">
      <c r="A268" s="2">
        <v>-4.2157738908950479</v>
      </c>
      <c r="B268" s="2">
        <v>-4.3809045295621258</v>
      </c>
      <c r="C268" s="2">
        <v>-2.2458644039261717</v>
      </c>
      <c r="D268" s="2">
        <v>-3.5537265972662726</v>
      </c>
      <c r="E268" s="2">
        <v>-5.819855329362416</v>
      </c>
    </row>
    <row r="269" spans="1:5" x14ac:dyDescent="0.25">
      <c r="A269" s="2">
        <v>-1.8536224406195789</v>
      </c>
      <c r="B269" s="2">
        <v>-3.7213618559807178</v>
      </c>
      <c r="C269" s="2">
        <v>-0.458380690983269</v>
      </c>
      <c r="D269" s="2">
        <v>0.18100235194135753</v>
      </c>
      <c r="E269" s="2">
        <v>-4.0016483323786263</v>
      </c>
    </row>
    <row r="270" spans="1:5" x14ac:dyDescent="0.25">
      <c r="A270" s="2">
        <v>5.2235608377909051</v>
      </c>
      <c r="B270" s="2">
        <v>2.1697259803045046E-3</v>
      </c>
      <c r="C270" s="2">
        <v>0.27814972717294106</v>
      </c>
      <c r="D270" s="2">
        <v>2.8222956805102464</v>
      </c>
      <c r="E270" s="2">
        <v>1.5387622316436396</v>
      </c>
    </row>
    <row r="271" spans="1:5" x14ac:dyDescent="0.25">
      <c r="A271" s="2">
        <v>2.7797657527795545</v>
      </c>
      <c r="B271" s="2">
        <v>3.5784681065546047</v>
      </c>
      <c r="C271" s="2">
        <v>2.2100009298148993</v>
      </c>
      <c r="D271" s="2">
        <v>-0.48506350970667267</v>
      </c>
      <c r="E271" s="2">
        <v>3.5581612479019626</v>
      </c>
    </row>
    <row r="272" spans="1:5" x14ac:dyDescent="0.25">
      <c r="A272" s="2">
        <v>3.2560530349031946</v>
      </c>
      <c r="B272" s="2">
        <v>3.7336772971021839</v>
      </c>
      <c r="C272" s="2">
        <v>2.6441677963046648</v>
      </c>
      <c r="D272" s="2">
        <v>1.643743898870214</v>
      </c>
      <c r="E272" s="2">
        <v>0.16740321766239147</v>
      </c>
    </row>
    <row r="273" spans="1:5" x14ac:dyDescent="0.25">
      <c r="A273" s="2">
        <v>3.3540942176218884</v>
      </c>
      <c r="B273" s="2">
        <v>2.9810672753636953</v>
      </c>
      <c r="C273" s="2">
        <v>3.3735348607291389</v>
      </c>
      <c r="D273" s="2">
        <v>3.3418992785051325</v>
      </c>
      <c r="E273" s="2">
        <v>3.0940672043212851</v>
      </c>
    </row>
    <row r="274" spans="1:5" x14ac:dyDescent="0.25">
      <c r="A274" s="2">
        <v>-1.1227461114182304</v>
      </c>
      <c r="B274" s="2">
        <v>1.1380588291192162</v>
      </c>
      <c r="C274" s="2">
        <v>1.9282868124043622</v>
      </c>
      <c r="D274" s="2">
        <v>-0.61805838696447446</v>
      </c>
      <c r="E274" s="2">
        <v>-4.0681693546306921</v>
      </c>
    </row>
    <row r="275" spans="1:5" x14ac:dyDescent="0.25">
      <c r="A275" s="2">
        <v>2.732050999219108</v>
      </c>
      <c r="B275" s="2">
        <v>2.90977396512538</v>
      </c>
      <c r="C275" s="2">
        <v>1.3132022140243054</v>
      </c>
      <c r="D275" s="2">
        <v>2.4941347161576122</v>
      </c>
      <c r="E275" s="2">
        <v>7.1616074293720366</v>
      </c>
    </row>
    <row r="276" spans="1:5" x14ac:dyDescent="0.25">
      <c r="A276" s="2">
        <v>3.7678360081427873</v>
      </c>
      <c r="B276" s="2">
        <v>3.7675364641792677</v>
      </c>
      <c r="C276" s="2">
        <v>0.54664241683210235</v>
      </c>
      <c r="D276" s="2">
        <v>0.37427943760062143</v>
      </c>
      <c r="E276" s="2">
        <v>3.0388021080489631</v>
      </c>
    </row>
    <row r="277" spans="1:5" x14ac:dyDescent="0.25">
      <c r="A277" s="2">
        <v>-3.7091676217033061</v>
      </c>
      <c r="B277" s="2">
        <v>-1.0647695222293716</v>
      </c>
      <c r="C277" s="2">
        <v>-0.59325764704272166</v>
      </c>
      <c r="D277" s="2">
        <v>-0.79541174241208445</v>
      </c>
      <c r="E277" s="2">
        <v>1.2380721478233114</v>
      </c>
    </row>
    <row r="278" spans="1:5" x14ac:dyDescent="0.25">
      <c r="A278" s="2">
        <v>2.7337984424429465</v>
      </c>
      <c r="B278" s="2">
        <v>4.5381172629286199</v>
      </c>
      <c r="C278" s="2">
        <v>1.1711423385134561</v>
      </c>
      <c r="D278" s="2">
        <v>3.466660596683282</v>
      </c>
      <c r="E278" s="2">
        <v>-1.6755958574689822</v>
      </c>
    </row>
    <row r="279" spans="1:5" x14ac:dyDescent="0.25">
      <c r="A279" s="2">
        <v>6.0993418581604297</v>
      </c>
      <c r="B279" s="2">
        <v>6.6724956873124279</v>
      </c>
      <c r="C279" s="2">
        <v>5.0708873130786492</v>
      </c>
      <c r="D279" s="2">
        <v>1.706944786222232</v>
      </c>
      <c r="E279" s="2">
        <v>-0.72393824960421149</v>
      </c>
    </row>
    <row r="280" spans="1:5" x14ac:dyDescent="0.25">
      <c r="A280" s="2">
        <v>0.12803963734390583</v>
      </c>
      <c r="B280" s="2">
        <v>4.2010961307559063</v>
      </c>
      <c r="C280" s="2">
        <v>1.7252337424915232</v>
      </c>
      <c r="D280" s="2">
        <v>3.1101732418174857</v>
      </c>
      <c r="E280" s="2">
        <v>2.580303364695439</v>
      </c>
    </row>
    <row r="281" spans="1:5" x14ac:dyDescent="0.25">
      <c r="A281" s="2">
        <v>-1.9893351078054382</v>
      </c>
      <c r="B281" s="2">
        <v>3.5766372369472088</v>
      </c>
      <c r="C281" s="2">
        <v>-0.78936926042099675</v>
      </c>
      <c r="D281" s="2">
        <v>6.9779226011824069E-2</v>
      </c>
      <c r="E281" s="2">
        <v>2.0974795883997968</v>
      </c>
    </row>
    <row r="282" spans="1:5" x14ac:dyDescent="0.25">
      <c r="A282" s="2">
        <v>-5.3601358433549162</v>
      </c>
      <c r="B282" s="2">
        <v>-5.5892731370409194</v>
      </c>
      <c r="C282" s="2">
        <v>-2.8521500640424433</v>
      </c>
      <c r="D282" s="2">
        <v>-5.9118835995496495</v>
      </c>
      <c r="E282" s="2">
        <v>-4.0144624580143251</v>
      </c>
    </row>
    <row r="283" spans="1:5" x14ac:dyDescent="0.25">
      <c r="A283" s="2">
        <v>0.12835071946418755</v>
      </c>
      <c r="B283" s="2">
        <v>-0.63470963493945776</v>
      </c>
      <c r="C283" s="2">
        <v>0.47348805710071301</v>
      </c>
      <c r="D283" s="2">
        <v>-0.58129612474611381</v>
      </c>
      <c r="E283" s="2">
        <v>-8.2742961767368648</v>
      </c>
    </row>
    <row r="284" spans="1:5" x14ac:dyDescent="0.25">
      <c r="A284" s="2">
        <v>2.1844751863617113</v>
      </c>
      <c r="B284" s="2">
        <v>5.9887400509610824</v>
      </c>
      <c r="C284" s="2">
        <v>4.6128394600877289</v>
      </c>
      <c r="D284" s="2">
        <v>5.4610534535977742</v>
      </c>
      <c r="E284" s="2">
        <v>4.9147652675436388</v>
      </c>
    </row>
    <row r="285" spans="1:5" x14ac:dyDescent="0.25">
      <c r="A285" s="2">
        <v>0.99848023148200127</v>
      </c>
      <c r="B285" s="2">
        <v>2.9627515038771377</v>
      </c>
      <c r="C285" s="2">
        <v>1.1528633132265205</v>
      </c>
      <c r="D285" s="2">
        <v>3.6094231541266208</v>
      </c>
      <c r="E285" s="2">
        <v>-0.68079946178358086</v>
      </c>
    </row>
    <row r="286" spans="1:5" x14ac:dyDescent="0.25">
      <c r="A286" s="2">
        <v>-3.472578007187114</v>
      </c>
      <c r="B286" s="2">
        <v>-2.7195659234809475</v>
      </c>
      <c r="C286" s="2">
        <v>-4.4290146438570854</v>
      </c>
      <c r="D286" s="2">
        <v>-5.1305212635907669</v>
      </c>
      <c r="E286" s="2">
        <v>-6.1390891301075454</v>
      </c>
    </row>
    <row r="287" spans="1:5" x14ac:dyDescent="0.25">
      <c r="A287" s="2">
        <v>-2.5089551919468529</v>
      </c>
      <c r="B287" s="2">
        <v>4.682229738642139</v>
      </c>
      <c r="C287" s="2">
        <v>0.8413413897306351</v>
      </c>
      <c r="D287" s="2">
        <v>1.9549013784561056</v>
      </c>
      <c r="E287" s="2">
        <v>-2.1328082539625925</v>
      </c>
    </row>
    <row r="288" spans="1:5" x14ac:dyDescent="0.25">
      <c r="A288" s="2">
        <v>-9.1085745879497395</v>
      </c>
      <c r="B288" s="2">
        <v>-13.704336223549014</v>
      </c>
      <c r="C288" s="2">
        <v>-7.7784913533496942</v>
      </c>
      <c r="D288" s="2">
        <v>-9.0278829061565826</v>
      </c>
      <c r="E288" s="2">
        <v>-10.212314766260763</v>
      </c>
    </row>
    <row r="289" spans="1:5" x14ac:dyDescent="0.25">
      <c r="A289" s="2">
        <v>-1.9360075029133506</v>
      </c>
      <c r="B289" s="2">
        <v>-2.3950245649395026</v>
      </c>
      <c r="C289" s="2">
        <v>-1.970155514261474</v>
      </c>
      <c r="D289" s="2">
        <v>0.29065527258589735</v>
      </c>
      <c r="E289" s="2">
        <v>-0.2716669426822636</v>
      </c>
    </row>
    <row r="290" spans="1:5" x14ac:dyDescent="0.25">
      <c r="A290" s="2">
        <v>-3.5947178809320213</v>
      </c>
      <c r="B290" s="2">
        <v>-3.7659740008214553</v>
      </c>
      <c r="C290" s="2">
        <v>-0.96097108851088553</v>
      </c>
      <c r="D290" s="2">
        <v>-2.2701991791409468</v>
      </c>
      <c r="E290" s="2">
        <v>-5.7742282254030544</v>
      </c>
    </row>
    <row r="291" spans="1:5" x14ac:dyDescent="0.25">
      <c r="A291" s="2">
        <v>4.7333879090208022</v>
      </c>
      <c r="B291" s="2">
        <v>6.8937135877693079</v>
      </c>
      <c r="C291" s="2">
        <v>5.945227892698651</v>
      </c>
      <c r="D291" s="2">
        <v>7.0083123580390509</v>
      </c>
      <c r="E291" s="2">
        <v>10.061754815041271</v>
      </c>
    </row>
    <row r="292" spans="1:5" x14ac:dyDescent="0.25">
      <c r="A292" s="2">
        <v>1.3334468497275445</v>
      </c>
      <c r="B292" s="2">
        <v>3.9809102246898633</v>
      </c>
      <c r="C292" s="2">
        <v>1.0414070000528377</v>
      </c>
      <c r="D292" s="2">
        <v>-5.6556498532989469E-2</v>
      </c>
      <c r="E292" s="2">
        <v>1.2407429556269791</v>
      </c>
    </row>
    <row r="293" spans="1:5" x14ac:dyDescent="0.25">
      <c r="A293" s="2">
        <v>-9.1940745656976866</v>
      </c>
      <c r="B293" s="2">
        <v>-6.8941489829978355</v>
      </c>
      <c r="C293" s="2">
        <v>-8.0759669290508231</v>
      </c>
      <c r="D293" s="2">
        <v>-8.7125204326676524</v>
      </c>
      <c r="E293" s="2">
        <v>-4.5377283276362341</v>
      </c>
    </row>
    <row r="294" spans="1:5" x14ac:dyDescent="0.25">
      <c r="A294" s="2">
        <v>1.5029749381741975</v>
      </c>
      <c r="B294" s="2">
        <v>-0.32262585660819176</v>
      </c>
      <c r="C294" s="2">
        <v>-1.400419455463237</v>
      </c>
      <c r="D294" s="2">
        <v>-3.6979018675025377</v>
      </c>
      <c r="E294" s="2">
        <v>-3.0779499358915468</v>
      </c>
    </row>
    <row r="295" spans="1:5" x14ac:dyDescent="0.25">
      <c r="A295" s="2">
        <v>3.8506234405969195</v>
      </c>
      <c r="B295" s="2">
        <v>1.0121166046596026</v>
      </c>
      <c r="C295" s="2">
        <v>1.7539848656381811</v>
      </c>
      <c r="D295" s="2">
        <v>6.9400980108639585</v>
      </c>
      <c r="E295" s="2">
        <v>-2.0784536176703083</v>
      </c>
    </row>
    <row r="296" spans="1:5" x14ac:dyDescent="0.25">
      <c r="A296" s="2">
        <v>-10.375923334205197</v>
      </c>
      <c r="B296" s="2">
        <v>-7.6973080401802507</v>
      </c>
      <c r="C296" s="2">
        <v>-13.798238888119016</v>
      </c>
      <c r="D296" s="2">
        <v>-14.342497992270459</v>
      </c>
      <c r="E296" s="2">
        <v>-9.6056831784757399</v>
      </c>
    </row>
    <row r="297" spans="1:5" x14ac:dyDescent="0.25">
      <c r="A297" s="2">
        <v>-10.507005835284255</v>
      </c>
      <c r="B297" s="2">
        <v>-9.702106411595949</v>
      </c>
      <c r="C297" s="2">
        <v>-16.212156155795522</v>
      </c>
      <c r="D297" s="2">
        <v>-11.920681751154918</v>
      </c>
      <c r="E297" s="2">
        <v>-27.186256039980144</v>
      </c>
    </row>
    <row r="298" spans="1:5" x14ac:dyDescent="0.25">
      <c r="A298" s="2">
        <v>-1.1645619460948051</v>
      </c>
      <c r="B298" s="2">
        <v>-12.518639034813633</v>
      </c>
      <c r="C298" s="2">
        <v>-3.4443388675943694</v>
      </c>
      <c r="D298" s="2">
        <v>1.7299315273480209</v>
      </c>
      <c r="E298" s="2">
        <v>-0.30831286394287077</v>
      </c>
    </row>
    <row r="299" spans="1:5" x14ac:dyDescent="0.25">
      <c r="A299" s="2">
        <v>-5.907498852429371</v>
      </c>
      <c r="B299" s="2">
        <v>-1.7789498395519818</v>
      </c>
      <c r="C299" s="2">
        <v>-2.5268802149944838</v>
      </c>
      <c r="D299" s="2">
        <v>0.96743320124888577</v>
      </c>
      <c r="E299" s="2">
        <v>2.3408901615721347</v>
      </c>
    </row>
    <row r="300" spans="1:5" x14ac:dyDescent="0.25">
      <c r="A300" s="2">
        <v>-3.2568722979881151</v>
      </c>
      <c r="B300" s="2">
        <v>-1.5633253725568923</v>
      </c>
      <c r="C300" s="2">
        <v>-2.3626053380994829</v>
      </c>
      <c r="D300" s="2">
        <v>-3.0452239944607689</v>
      </c>
      <c r="E300" s="2">
        <v>-3.9989559083491244</v>
      </c>
    </row>
    <row r="301" spans="1:5" x14ac:dyDescent="0.25">
      <c r="A301" s="2">
        <v>-10.090377647271685</v>
      </c>
      <c r="B301" s="2">
        <v>-13.134056772940362</v>
      </c>
      <c r="C301" s="2">
        <v>-12.253820091130613</v>
      </c>
      <c r="D301" s="2">
        <v>-8.0178704982783895</v>
      </c>
      <c r="E301" s="2">
        <v>-7.6634857055698875</v>
      </c>
    </row>
  </sheetData>
  <mergeCells count="8">
    <mergeCell ref="N23:N24"/>
    <mergeCell ref="O23:O24"/>
    <mergeCell ref="P23:P24"/>
    <mergeCell ref="I23:I24"/>
    <mergeCell ref="J23:J24"/>
    <mergeCell ref="K23:K24"/>
    <mergeCell ref="L23:L24"/>
    <mergeCell ref="M23:M24"/>
  </mergeCells>
  <conditionalFormatting sqref="L26:P36">
    <cfRule type="colorScale" priority="1">
      <colorScale>
        <cfvo type="min"/>
        <cfvo type="max"/>
        <color rgb="FFFFEF9C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:K3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6:J3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J7" sqref="J7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MinVar</vt:lpstr>
      <vt:lpstr>Optimum</vt:lpstr>
      <vt:lpstr>Test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fboehlandt</dc:creator>
  <cp:lastModifiedBy>Richard Godfrey</cp:lastModifiedBy>
  <dcterms:created xsi:type="dcterms:W3CDTF">2010-01-15T14:53:15Z</dcterms:created>
  <dcterms:modified xsi:type="dcterms:W3CDTF">2016-11-14T09:53:30Z</dcterms:modified>
</cp:coreProperties>
</file>