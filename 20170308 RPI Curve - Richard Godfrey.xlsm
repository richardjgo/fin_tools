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120" yWindow="885" windowWidth="18930" windowHeight="13470" activeTab="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27" i="3" l="1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28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D27" i="3"/>
  <c r="D28" i="3"/>
  <c r="D29" i="3"/>
  <c r="D30" i="3"/>
  <c r="E31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C27" i="3"/>
  <c r="C30" i="3"/>
  <c r="E27" i="3"/>
  <c r="C28" i="3"/>
  <c r="E28" i="3" s="1"/>
  <c r="C29" i="3"/>
  <c r="E29" i="3" s="1"/>
  <c r="E30" i="3"/>
  <c r="C65" i="3"/>
  <c r="C34" i="3"/>
  <c r="C38" i="3"/>
  <c r="C42" i="3"/>
  <c r="C46" i="3"/>
  <c r="C50" i="3"/>
  <c r="C54" i="3"/>
  <c r="C58" i="3"/>
  <c r="C62" i="3"/>
  <c r="C66" i="3"/>
  <c r="C70" i="3"/>
  <c r="C74" i="3"/>
  <c r="C78" i="3"/>
  <c r="C35" i="3"/>
  <c r="C39" i="3"/>
  <c r="C43" i="3"/>
  <c r="C47" i="3"/>
  <c r="C51" i="3"/>
  <c r="C55" i="3"/>
  <c r="C59" i="3"/>
  <c r="C63" i="3"/>
  <c r="C67" i="3"/>
  <c r="C71" i="3"/>
  <c r="C75" i="3"/>
  <c r="C79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33" i="3"/>
  <c r="C37" i="3"/>
  <c r="C41" i="3"/>
  <c r="C45" i="3"/>
  <c r="C49" i="3"/>
  <c r="C53" i="3"/>
  <c r="C57" i="3"/>
  <c r="C61" i="3"/>
  <c r="C69" i="3"/>
  <c r="C73" i="3"/>
  <c r="C77" i="3"/>
  <c r="C31" i="3"/>
  <c r="D5" i="3"/>
  <c r="D6" i="3"/>
  <c r="H27" i="3" l="1"/>
  <c r="F30" i="3"/>
  <c r="H30" i="3" s="1"/>
  <c r="F29" i="3"/>
  <c r="H29" i="3" s="1"/>
  <c r="F28" i="3"/>
  <c r="H28" i="3" s="1"/>
  <c r="E5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F27" i="3"/>
  <c r="F31" i="3"/>
  <c r="H31" i="3" s="1"/>
  <c r="E32" i="3"/>
  <c r="F32" i="3" l="1"/>
  <c r="H32" i="3" s="1"/>
  <c r="E33" i="3"/>
  <c r="F33" i="3" l="1"/>
  <c r="H33" i="3" s="1"/>
  <c r="E34" i="3"/>
  <c r="F34" i="3" l="1"/>
  <c r="H34" i="3" s="1"/>
  <c r="E35" i="3"/>
  <c r="F35" i="3" l="1"/>
  <c r="H35" i="3" s="1"/>
  <c r="E36" i="3"/>
  <c r="F36" i="3" l="1"/>
  <c r="H36" i="3" s="1"/>
  <c r="E37" i="3"/>
  <c r="F37" i="3" l="1"/>
  <c r="H37" i="3" s="1"/>
  <c r="E38" i="3"/>
  <c r="F38" i="3" l="1"/>
  <c r="H38" i="3" s="1"/>
  <c r="E39" i="3"/>
  <c r="F39" i="3" l="1"/>
  <c r="H39" i="3" s="1"/>
  <c r="E40" i="3"/>
  <c r="F40" i="3" l="1"/>
  <c r="H40" i="3" s="1"/>
  <c r="E41" i="3"/>
  <c r="F41" i="3" l="1"/>
  <c r="H41" i="3" s="1"/>
  <c r="E42" i="3"/>
  <c r="F42" i="3" l="1"/>
  <c r="H42" i="3" s="1"/>
  <c r="E43" i="3"/>
  <c r="F43" i="3" l="1"/>
  <c r="H43" i="3" s="1"/>
  <c r="E44" i="3"/>
  <c r="F44" i="3" l="1"/>
  <c r="H44" i="3" s="1"/>
  <c r="E45" i="3"/>
  <c r="F45" i="3" l="1"/>
  <c r="H45" i="3" s="1"/>
  <c r="E46" i="3"/>
  <c r="F46" i="3" l="1"/>
  <c r="H46" i="3" s="1"/>
  <c r="E47" i="3"/>
  <c r="F47" i="3" l="1"/>
  <c r="H47" i="3" s="1"/>
  <c r="E48" i="3"/>
  <c r="F48" i="3" l="1"/>
  <c r="H48" i="3" s="1"/>
  <c r="E49" i="3"/>
  <c r="F49" i="3" l="1"/>
  <c r="H49" i="3" s="1"/>
  <c r="E50" i="3"/>
  <c r="F50" i="3" l="1"/>
  <c r="H50" i="3" s="1"/>
  <c r="E51" i="3"/>
  <c r="F51" i="3" l="1"/>
  <c r="H51" i="3" s="1"/>
  <c r="E52" i="3"/>
  <c r="F52" i="3" l="1"/>
  <c r="H52" i="3" s="1"/>
  <c r="E53" i="3"/>
  <c r="F53" i="3" l="1"/>
  <c r="H53" i="3" s="1"/>
  <c r="E54" i="3"/>
  <c r="F54" i="3" l="1"/>
  <c r="H54" i="3" s="1"/>
  <c r="E55" i="3"/>
  <c r="F55" i="3" l="1"/>
  <c r="H55" i="3" s="1"/>
  <c r="E56" i="3"/>
  <c r="F56" i="3" l="1"/>
  <c r="H56" i="3" s="1"/>
  <c r="E57" i="3"/>
  <c r="F57" i="3" l="1"/>
  <c r="H57" i="3" s="1"/>
  <c r="E58" i="3"/>
  <c r="F58" i="3" l="1"/>
  <c r="H58" i="3" s="1"/>
  <c r="E59" i="3"/>
  <c r="F59" i="3" l="1"/>
  <c r="H59" i="3" s="1"/>
  <c r="E60" i="3"/>
  <c r="F60" i="3" l="1"/>
  <c r="H60" i="3" s="1"/>
  <c r="E61" i="3"/>
  <c r="F61" i="3" l="1"/>
  <c r="H61" i="3" s="1"/>
  <c r="E62" i="3"/>
  <c r="F62" i="3" l="1"/>
  <c r="H62" i="3" s="1"/>
  <c r="E63" i="3"/>
  <c r="F63" i="3" l="1"/>
  <c r="H63" i="3" s="1"/>
  <c r="E64" i="3"/>
  <c r="F64" i="3" l="1"/>
  <c r="H64" i="3" s="1"/>
  <c r="E65" i="3"/>
  <c r="F65" i="3" l="1"/>
  <c r="H65" i="3" s="1"/>
  <c r="E66" i="3"/>
  <c r="F66" i="3" l="1"/>
  <c r="H66" i="3" s="1"/>
  <c r="E67" i="3"/>
  <c r="F67" i="3" l="1"/>
  <c r="H67" i="3" s="1"/>
  <c r="E68" i="3"/>
  <c r="F68" i="3" l="1"/>
  <c r="H68" i="3" s="1"/>
  <c r="E69" i="3"/>
  <c r="F69" i="3" l="1"/>
  <c r="H69" i="3" s="1"/>
  <c r="E70" i="3"/>
  <c r="F70" i="3" l="1"/>
  <c r="H70" i="3" s="1"/>
  <c r="E71" i="3"/>
  <c r="F71" i="3" l="1"/>
  <c r="H71" i="3" s="1"/>
  <c r="E72" i="3"/>
  <c r="F72" i="3" l="1"/>
  <c r="H72" i="3" s="1"/>
  <c r="E73" i="3"/>
  <c r="F73" i="3" l="1"/>
  <c r="H73" i="3" s="1"/>
  <c r="E74" i="3"/>
  <c r="F74" i="3" l="1"/>
  <c r="H74" i="3" s="1"/>
  <c r="E75" i="3"/>
  <c r="F75" i="3" l="1"/>
  <c r="H75" i="3" s="1"/>
  <c r="E76" i="3"/>
  <c r="F76" i="3" l="1"/>
  <c r="H76" i="3" s="1"/>
  <c r="E77" i="3"/>
  <c r="F77" i="3" l="1"/>
  <c r="H77" i="3" s="1"/>
  <c r="E78" i="3"/>
  <c r="F78" i="3" l="1"/>
  <c r="H78" i="3" s="1"/>
  <c r="E79" i="3"/>
  <c r="F79" i="3" l="1"/>
  <c r="H79" i="3" s="1"/>
  <c r="E80" i="3"/>
  <c r="F80" i="3" l="1"/>
  <c r="H80" i="3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F5" i="1"/>
  <c r="A5" i="1"/>
  <c r="A4" i="1"/>
  <c r="J4" i="1" s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15" i="1"/>
  <c r="A6" i="1" l="1"/>
  <c r="J5" i="1"/>
  <c r="K5" i="1" s="1"/>
  <c r="F4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K4" i="1"/>
  <c r="M16" i="1"/>
  <c r="M20" i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M136" i="1"/>
  <c r="M140" i="1"/>
  <c r="M144" i="1"/>
  <c r="M148" i="1"/>
  <c r="M152" i="1"/>
  <c r="M156" i="1"/>
  <c r="M160" i="1"/>
  <c r="M17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5" i="1"/>
  <c r="M269" i="1"/>
  <c r="M273" i="1"/>
  <c r="M277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29" i="1"/>
  <c r="M333" i="1"/>
  <c r="M337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89" i="1"/>
  <c r="M393" i="1"/>
  <c r="M397" i="1"/>
  <c r="M401" i="1"/>
  <c r="M405" i="1"/>
  <c r="M409" i="1"/>
  <c r="M413" i="1"/>
  <c r="M417" i="1"/>
  <c r="M421" i="1"/>
  <c r="M425" i="1"/>
  <c r="M429" i="1"/>
  <c r="M433" i="1"/>
  <c r="M437" i="1"/>
  <c r="M441" i="1"/>
  <c r="M445" i="1"/>
  <c r="M449" i="1"/>
  <c r="M453" i="1"/>
  <c r="M457" i="1"/>
  <c r="M461" i="1"/>
  <c r="M465" i="1"/>
  <c r="M469" i="1"/>
  <c r="M473" i="1"/>
  <c r="M477" i="1"/>
  <c r="M481" i="1"/>
  <c r="M485" i="1"/>
  <c r="M489" i="1"/>
  <c r="M493" i="1"/>
  <c r="M497" i="1"/>
  <c r="M501" i="1"/>
  <c r="M505" i="1"/>
  <c r="M509" i="1"/>
  <c r="M513" i="1"/>
  <c r="M517" i="1"/>
  <c r="M521" i="1"/>
  <c r="M525" i="1"/>
  <c r="M529" i="1"/>
  <c r="M533" i="1"/>
  <c r="M537" i="1"/>
  <c r="M541" i="1"/>
  <c r="M545" i="1"/>
  <c r="M549" i="1"/>
  <c r="M553" i="1"/>
  <c r="M557" i="1"/>
  <c r="M561" i="1"/>
  <c r="M565" i="1"/>
  <c r="M569" i="1"/>
  <c r="M573" i="1"/>
  <c r="M577" i="1"/>
  <c r="M581" i="1"/>
  <c r="M585" i="1"/>
  <c r="M589" i="1"/>
  <c r="M593" i="1"/>
  <c r="M597" i="1"/>
  <c r="M601" i="1"/>
  <c r="M605" i="1"/>
  <c r="M609" i="1"/>
  <c r="M613" i="1"/>
  <c r="M617" i="1"/>
  <c r="M621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482" i="1"/>
  <c r="M486" i="1"/>
  <c r="M490" i="1"/>
  <c r="M494" i="1"/>
  <c r="M498" i="1"/>
  <c r="M502" i="1"/>
  <c r="M506" i="1"/>
  <c r="M510" i="1"/>
  <c r="M514" i="1"/>
  <c r="M518" i="1"/>
  <c r="M522" i="1"/>
  <c r="M526" i="1"/>
  <c r="M530" i="1"/>
  <c r="M534" i="1"/>
  <c r="M538" i="1"/>
  <c r="M542" i="1"/>
  <c r="M546" i="1"/>
  <c r="M550" i="1"/>
  <c r="M554" i="1"/>
  <c r="M558" i="1"/>
  <c r="M562" i="1"/>
  <c r="M566" i="1"/>
  <c r="M570" i="1"/>
  <c r="M574" i="1"/>
  <c r="M578" i="1"/>
  <c r="M582" i="1"/>
  <c r="M586" i="1"/>
  <c r="M590" i="1"/>
  <c r="M594" i="1"/>
  <c r="M598" i="1"/>
  <c r="M602" i="1"/>
  <c r="M606" i="1"/>
  <c r="M610" i="1"/>
  <c r="M614" i="1"/>
  <c r="M618" i="1"/>
  <c r="M622" i="1"/>
  <c r="M1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64" i="1"/>
  <c r="M168" i="1"/>
  <c r="M172" i="1"/>
  <c r="M176" i="1"/>
  <c r="M180" i="1"/>
  <c r="M184" i="1"/>
  <c r="M188" i="1"/>
  <c r="M192" i="1"/>
  <c r="M196" i="1"/>
  <c r="M200" i="1"/>
  <c r="M204" i="1"/>
  <c r="M208" i="1"/>
  <c r="M212" i="1"/>
  <c r="M216" i="1"/>
  <c r="M220" i="1"/>
  <c r="M224" i="1"/>
  <c r="M228" i="1"/>
  <c r="M232" i="1"/>
  <c r="M236" i="1"/>
  <c r="M240" i="1"/>
  <c r="M244" i="1"/>
  <c r="M248" i="1"/>
  <c r="M252" i="1"/>
  <c r="M256" i="1"/>
  <c r="M260" i="1"/>
  <c r="M264" i="1"/>
  <c r="M268" i="1"/>
  <c r="M272" i="1"/>
  <c r="M276" i="1"/>
  <c r="M280" i="1"/>
  <c r="M284" i="1"/>
  <c r="M288" i="1"/>
  <c r="M292" i="1"/>
  <c r="M296" i="1"/>
  <c r="M300" i="1"/>
  <c r="M304" i="1"/>
  <c r="M308" i="1"/>
  <c r="M312" i="1"/>
  <c r="M316" i="1"/>
  <c r="M320" i="1"/>
  <c r="M324" i="1"/>
  <c r="M328" i="1"/>
  <c r="M332" i="1"/>
  <c r="M336" i="1"/>
  <c r="M340" i="1"/>
  <c r="M344" i="1"/>
  <c r="M348" i="1"/>
  <c r="M352" i="1"/>
  <c r="M356" i="1"/>
  <c r="M360" i="1"/>
  <c r="M364" i="1"/>
  <c r="M368" i="1"/>
  <c r="M372" i="1"/>
  <c r="M376" i="1"/>
  <c r="M380" i="1"/>
  <c r="M384" i="1"/>
  <c r="M388" i="1"/>
  <c r="M392" i="1"/>
  <c r="M396" i="1"/>
  <c r="M400" i="1"/>
  <c r="M404" i="1"/>
  <c r="M408" i="1"/>
  <c r="M412" i="1"/>
  <c r="M416" i="1"/>
  <c r="M420" i="1"/>
  <c r="M424" i="1"/>
  <c r="M428" i="1"/>
  <c r="M432" i="1"/>
  <c r="M436" i="1"/>
  <c r="M440" i="1"/>
  <c r="M444" i="1"/>
  <c r="M448" i="1"/>
  <c r="M452" i="1"/>
  <c r="M456" i="1"/>
  <c r="M460" i="1"/>
  <c r="M464" i="1"/>
  <c r="M468" i="1"/>
  <c r="M472" i="1"/>
  <c r="M476" i="1"/>
  <c r="M480" i="1"/>
  <c r="M484" i="1"/>
  <c r="M488" i="1"/>
  <c r="M492" i="1"/>
  <c r="M496" i="1"/>
  <c r="M500" i="1"/>
  <c r="M504" i="1"/>
  <c r="M508" i="1"/>
  <c r="M512" i="1"/>
  <c r="M516" i="1"/>
  <c r="M520" i="1"/>
  <c r="M524" i="1"/>
  <c r="M528" i="1"/>
  <c r="M532" i="1"/>
  <c r="M536" i="1"/>
  <c r="M540" i="1"/>
  <c r="M544" i="1"/>
  <c r="M548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503" i="1"/>
  <c r="M507" i="1"/>
  <c r="M511" i="1"/>
  <c r="M515" i="1"/>
  <c r="M519" i="1"/>
  <c r="M523" i="1"/>
  <c r="M527" i="1"/>
  <c r="M531" i="1"/>
  <c r="M535" i="1"/>
  <c r="M539" i="1"/>
  <c r="M543" i="1"/>
  <c r="M547" i="1"/>
  <c r="M551" i="1"/>
  <c r="M555" i="1"/>
  <c r="M559" i="1"/>
  <c r="M563" i="1"/>
  <c r="M567" i="1"/>
  <c r="M571" i="1"/>
  <c r="M575" i="1"/>
  <c r="M579" i="1"/>
  <c r="M583" i="1"/>
  <c r="M587" i="1"/>
  <c r="M591" i="1"/>
  <c r="M595" i="1"/>
  <c r="M599" i="1"/>
  <c r="M603" i="1"/>
  <c r="M607" i="1"/>
  <c r="M611" i="1"/>
  <c r="M615" i="1"/>
  <c r="M619" i="1"/>
  <c r="M623" i="1"/>
  <c r="M627" i="1"/>
  <c r="M631" i="1"/>
  <c r="M635" i="1"/>
  <c r="M639" i="1"/>
  <c r="M643" i="1"/>
  <c r="M647" i="1"/>
  <c r="M651" i="1"/>
  <c r="M655" i="1"/>
  <c r="M659" i="1"/>
  <c r="M663" i="1"/>
  <c r="M667" i="1"/>
  <c r="M671" i="1"/>
  <c r="M675" i="1"/>
  <c r="M679" i="1"/>
  <c r="M683" i="1"/>
  <c r="M687" i="1"/>
  <c r="M691" i="1"/>
  <c r="M695" i="1"/>
  <c r="M699" i="1"/>
  <c r="M703" i="1"/>
  <c r="M707" i="1"/>
  <c r="M711" i="1"/>
  <c r="M715" i="1"/>
  <c r="M719" i="1"/>
  <c r="M723" i="1"/>
  <c r="M624" i="1"/>
  <c r="M628" i="1"/>
  <c r="M632" i="1"/>
  <c r="M636" i="1"/>
  <c r="M640" i="1"/>
  <c r="M644" i="1"/>
  <c r="M648" i="1"/>
  <c r="M652" i="1"/>
  <c r="M656" i="1"/>
  <c r="M660" i="1"/>
  <c r="M664" i="1"/>
  <c r="M668" i="1"/>
  <c r="M672" i="1"/>
  <c r="M676" i="1"/>
  <c r="M680" i="1"/>
  <c r="M684" i="1"/>
  <c r="M688" i="1"/>
  <c r="M692" i="1"/>
  <c r="M696" i="1"/>
  <c r="M700" i="1"/>
  <c r="M704" i="1"/>
  <c r="M708" i="1"/>
  <c r="M712" i="1"/>
  <c r="M716" i="1"/>
  <c r="M720" i="1"/>
  <c r="M625" i="1"/>
  <c r="M629" i="1"/>
  <c r="M633" i="1"/>
  <c r="M637" i="1"/>
  <c r="M641" i="1"/>
  <c r="M645" i="1"/>
  <c r="M649" i="1"/>
  <c r="M653" i="1"/>
  <c r="M657" i="1"/>
  <c r="M661" i="1"/>
  <c r="M665" i="1"/>
  <c r="M669" i="1"/>
  <c r="M673" i="1"/>
  <c r="M677" i="1"/>
  <c r="M681" i="1"/>
  <c r="M685" i="1"/>
  <c r="M689" i="1"/>
  <c r="M693" i="1"/>
  <c r="M697" i="1"/>
  <c r="M701" i="1"/>
  <c r="M705" i="1"/>
  <c r="M709" i="1"/>
  <c r="M713" i="1"/>
  <c r="M717" i="1"/>
  <c r="M721" i="1"/>
  <c r="M626" i="1"/>
  <c r="M630" i="1"/>
  <c r="M634" i="1"/>
  <c r="M638" i="1"/>
  <c r="M642" i="1"/>
  <c r="M646" i="1"/>
  <c r="M650" i="1"/>
  <c r="M654" i="1"/>
  <c r="M658" i="1"/>
  <c r="M662" i="1"/>
  <c r="M666" i="1"/>
  <c r="M670" i="1"/>
  <c r="M674" i="1"/>
  <c r="M678" i="1"/>
  <c r="M682" i="1"/>
  <c r="M686" i="1"/>
  <c r="M690" i="1"/>
  <c r="M694" i="1"/>
  <c r="M698" i="1"/>
  <c r="M702" i="1"/>
  <c r="M706" i="1"/>
  <c r="M710" i="1"/>
  <c r="M714" i="1"/>
  <c r="M718" i="1"/>
  <c r="M722" i="1"/>
  <c r="A7" i="1" l="1"/>
  <c r="J6" i="1"/>
  <c r="F6" i="1"/>
  <c r="K6" i="1" l="1"/>
  <c r="A8" i="1"/>
  <c r="J7" i="1"/>
  <c r="K7" i="1" s="1"/>
  <c r="F7" i="1"/>
  <c r="A9" i="1" l="1"/>
  <c r="J8" i="1"/>
  <c r="F8" i="1"/>
  <c r="K8" i="1" l="1"/>
  <c r="A10" i="1"/>
  <c r="J9" i="1"/>
  <c r="F9" i="1"/>
  <c r="K9" i="1" l="1"/>
  <c r="A11" i="1"/>
  <c r="J10" i="1"/>
  <c r="F10" i="1"/>
  <c r="K10" i="1" l="1"/>
  <c r="A12" i="1"/>
  <c r="J11" i="1"/>
  <c r="F11" i="1"/>
  <c r="K11" i="1" l="1"/>
  <c r="A13" i="1"/>
  <c r="J12" i="1"/>
  <c r="F12" i="1"/>
  <c r="K12" i="1" l="1"/>
  <c r="A14" i="1"/>
  <c r="J13" i="1"/>
  <c r="F13" i="1"/>
  <c r="K13" i="1" l="1"/>
  <c r="A15" i="1"/>
  <c r="J14" i="1"/>
  <c r="F14" i="1"/>
  <c r="K14" i="1" l="1"/>
  <c r="A16" i="1"/>
  <c r="J15" i="1"/>
  <c r="F15" i="1"/>
  <c r="P5" i="1" s="1"/>
  <c r="Q5" i="1" s="1"/>
  <c r="K15" i="1" l="1"/>
  <c r="A17" i="1"/>
  <c r="J16" i="1"/>
  <c r="F16" i="1"/>
  <c r="K16" i="1" l="1"/>
  <c r="A18" i="1"/>
  <c r="J17" i="1"/>
  <c r="F17" i="1"/>
  <c r="K17" i="1" l="1"/>
  <c r="A19" i="1"/>
  <c r="J18" i="1"/>
  <c r="F18" i="1"/>
  <c r="K18" i="1" l="1"/>
  <c r="A20" i="1"/>
  <c r="J19" i="1"/>
  <c r="F19" i="1"/>
  <c r="K19" i="1" l="1"/>
  <c r="A21" i="1"/>
  <c r="J20" i="1"/>
  <c r="F20" i="1"/>
  <c r="K20" i="1" l="1"/>
  <c r="A22" i="1"/>
  <c r="J21" i="1"/>
  <c r="F21" i="1"/>
  <c r="K21" i="1" l="1"/>
  <c r="A23" i="1"/>
  <c r="J22" i="1"/>
  <c r="K22" i="1" s="1"/>
  <c r="F22" i="1"/>
  <c r="A24" i="1" l="1"/>
  <c r="J23" i="1"/>
  <c r="F23" i="1"/>
  <c r="K23" i="1" l="1"/>
  <c r="A25" i="1"/>
  <c r="J24" i="1"/>
  <c r="K24" i="1" s="1"/>
  <c r="F24" i="1"/>
  <c r="A26" i="1" l="1"/>
  <c r="J25" i="1"/>
  <c r="F25" i="1"/>
  <c r="K25" i="1" l="1"/>
  <c r="A27" i="1"/>
  <c r="J26" i="1"/>
  <c r="F26" i="1"/>
  <c r="K26" i="1" l="1"/>
  <c r="A28" i="1"/>
  <c r="J27" i="1"/>
  <c r="K27" i="1" s="1"/>
  <c r="F27" i="1"/>
  <c r="P6" i="1" s="1"/>
  <c r="A29" i="1" l="1"/>
  <c r="J28" i="1"/>
  <c r="F28" i="1"/>
  <c r="K28" i="1" l="1"/>
  <c r="A30" i="1"/>
  <c r="J29" i="1"/>
  <c r="F29" i="1"/>
  <c r="K29" i="1" l="1"/>
  <c r="A31" i="1"/>
  <c r="J30" i="1"/>
  <c r="K30" i="1" s="1"/>
  <c r="F30" i="1"/>
  <c r="A32" i="1" l="1"/>
  <c r="J31" i="1"/>
  <c r="F31" i="1"/>
  <c r="K31" i="1" l="1"/>
  <c r="A33" i="1"/>
  <c r="J32" i="1"/>
  <c r="K32" i="1" s="1"/>
  <c r="F32" i="1"/>
  <c r="A34" i="1" l="1"/>
  <c r="J33" i="1"/>
  <c r="F33" i="1"/>
  <c r="K33" i="1" l="1"/>
  <c r="A35" i="1"/>
  <c r="J34" i="1"/>
  <c r="F34" i="1"/>
  <c r="K34" i="1" l="1"/>
  <c r="A36" i="1"/>
  <c r="J35" i="1"/>
  <c r="F35" i="1"/>
  <c r="K35" i="1" l="1"/>
  <c r="A37" i="1"/>
  <c r="J36" i="1"/>
  <c r="K36" i="1" s="1"/>
  <c r="F36" i="1"/>
  <c r="A38" i="1" l="1"/>
  <c r="J37" i="1"/>
  <c r="F37" i="1"/>
  <c r="K37" i="1" l="1"/>
  <c r="A39" i="1"/>
  <c r="J38" i="1"/>
  <c r="F38" i="1"/>
  <c r="K38" i="1" l="1"/>
  <c r="A40" i="1"/>
  <c r="J39" i="1"/>
  <c r="F39" i="1"/>
  <c r="K39" i="1" l="1"/>
  <c r="A41" i="1"/>
  <c r="J40" i="1"/>
  <c r="F40" i="1"/>
  <c r="K40" i="1" l="1"/>
  <c r="A42" i="1"/>
  <c r="J41" i="1"/>
  <c r="F41" i="1"/>
  <c r="K41" i="1" l="1"/>
  <c r="A43" i="1"/>
  <c r="J42" i="1"/>
  <c r="K42" i="1" s="1"/>
  <c r="F42" i="1"/>
  <c r="A44" i="1" l="1"/>
  <c r="J43" i="1"/>
  <c r="F43" i="1"/>
  <c r="K43" i="1" l="1"/>
  <c r="A45" i="1"/>
  <c r="J44" i="1"/>
  <c r="F44" i="1"/>
  <c r="K44" i="1" l="1"/>
  <c r="A46" i="1"/>
  <c r="J45" i="1"/>
  <c r="F45" i="1"/>
  <c r="K45" i="1" l="1"/>
  <c r="A47" i="1"/>
  <c r="J46" i="1"/>
  <c r="F46" i="1"/>
  <c r="K46" i="1" l="1"/>
  <c r="A48" i="1"/>
  <c r="J47" i="1"/>
  <c r="F47" i="1"/>
  <c r="K47" i="1" l="1"/>
  <c r="A49" i="1"/>
  <c r="J48" i="1"/>
  <c r="F48" i="1"/>
  <c r="K48" i="1" l="1"/>
  <c r="A50" i="1"/>
  <c r="J49" i="1"/>
  <c r="K49" i="1" s="1"/>
  <c r="F49" i="1"/>
  <c r="A51" i="1" l="1"/>
  <c r="J50" i="1"/>
  <c r="K50" i="1" s="1"/>
  <c r="F50" i="1"/>
  <c r="A52" i="1" l="1"/>
  <c r="J51" i="1"/>
  <c r="F51" i="1"/>
  <c r="K51" i="1" l="1"/>
  <c r="A53" i="1"/>
  <c r="J52" i="1"/>
  <c r="K52" i="1" s="1"/>
  <c r="F52" i="1"/>
  <c r="A54" i="1" l="1"/>
  <c r="J53" i="1"/>
  <c r="F53" i="1"/>
  <c r="K53" i="1" l="1"/>
  <c r="A55" i="1"/>
  <c r="J54" i="1"/>
  <c r="F54" i="1"/>
  <c r="K54" i="1" l="1"/>
  <c r="A56" i="1"/>
  <c r="J55" i="1"/>
  <c r="F55" i="1"/>
  <c r="K55" i="1" l="1"/>
  <c r="A57" i="1"/>
  <c r="J56" i="1"/>
  <c r="F56" i="1"/>
  <c r="K56" i="1" l="1"/>
  <c r="A58" i="1"/>
  <c r="J57" i="1"/>
  <c r="F57" i="1"/>
  <c r="K57" i="1" l="1"/>
  <c r="A59" i="1"/>
  <c r="J58" i="1"/>
  <c r="F58" i="1"/>
  <c r="K58" i="1" l="1"/>
  <c r="A60" i="1"/>
  <c r="J59" i="1"/>
  <c r="F59" i="1"/>
  <c r="K59" i="1" l="1"/>
  <c r="A61" i="1"/>
  <c r="J60" i="1"/>
  <c r="F60" i="1"/>
  <c r="K60" i="1" l="1"/>
  <c r="A62" i="1"/>
  <c r="J61" i="1"/>
  <c r="F61" i="1"/>
  <c r="A63" i="1" l="1"/>
  <c r="J62" i="1"/>
  <c r="K62" i="1" s="1"/>
  <c r="F62" i="1"/>
  <c r="K61" i="1"/>
  <c r="A64" i="1" l="1"/>
  <c r="J63" i="1"/>
  <c r="F63" i="1"/>
  <c r="K63" i="1" l="1"/>
  <c r="A65" i="1"/>
  <c r="J64" i="1"/>
  <c r="K64" i="1" s="1"/>
  <c r="F64" i="1"/>
  <c r="A66" i="1" l="1"/>
  <c r="J65" i="1"/>
  <c r="F65" i="1"/>
  <c r="K65" i="1" l="1"/>
  <c r="A67" i="1"/>
  <c r="J66" i="1"/>
  <c r="F66" i="1"/>
  <c r="K66" i="1" l="1"/>
  <c r="A68" i="1"/>
  <c r="J67" i="1"/>
  <c r="F67" i="1"/>
  <c r="K67" i="1" l="1"/>
  <c r="A69" i="1"/>
  <c r="J68" i="1"/>
  <c r="F68" i="1"/>
  <c r="K68" i="1" l="1"/>
  <c r="A70" i="1"/>
  <c r="J69" i="1"/>
  <c r="F69" i="1"/>
  <c r="K69" i="1" l="1"/>
  <c r="A71" i="1"/>
  <c r="J70" i="1"/>
  <c r="F70" i="1"/>
  <c r="K70" i="1" l="1"/>
  <c r="A72" i="1"/>
  <c r="J71" i="1"/>
  <c r="K71" i="1" s="1"/>
  <c r="F71" i="1"/>
  <c r="A73" i="1" l="1"/>
  <c r="J72" i="1"/>
  <c r="F72" i="1"/>
  <c r="K72" i="1" l="1"/>
  <c r="A74" i="1"/>
  <c r="J73" i="1"/>
  <c r="F73" i="1"/>
  <c r="K73" i="1" l="1"/>
  <c r="A75" i="1"/>
  <c r="J74" i="1"/>
  <c r="F74" i="1"/>
  <c r="K74" i="1" l="1"/>
  <c r="A76" i="1"/>
  <c r="J75" i="1"/>
  <c r="F75" i="1"/>
  <c r="K75" i="1" l="1"/>
  <c r="A77" i="1"/>
  <c r="J76" i="1"/>
  <c r="F76" i="1"/>
  <c r="K76" i="1" l="1"/>
  <c r="A78" i="1"/>
  <c r="J77" i="1"/>
  <c r="F77" i="1"/>
  <c r="K77" i="1" l="1"/>
  <c r="A79" i="1"/>
  <c r="J78" i="1"/>
  <c r="F78" i="1"/>
  <c r="K78" i="1" l="1"/>
  <c r="A80" i="1"/>
  <c r="J79" i="1"/>
  <c r="K79" i="1" s="1"/>
  <c r="F79" i="1"/>
  <c r="A81" i="1" l="1"/>
  <c r="J80" i="1"/>
  <c r="F80" i="1"/>
  <c r="K80" i="1" l="1"/>
  <c r="A82" i="1"/>
  <c r="J81" i="1"/>
  <c r="K81" i="1" s="1"/>
  <c r="F81" i="1"/>
  <c r="A83" i="1" l="1"/>
  <c r="J82" i="1"/>
  <c r="F82" i="1"/>
  <c r="K82" i="1" l="1"/>
  <c r="A84" i="1"/>
  <c r="J83" i="1"/>
  <c r="F83" i="1"/>
  <c r="K83" i="1" l="1"/>
  <c r="A85" i="1"/>
  <c r="J84" i="1"/>
  <c r="F84" i="1"/>
  <c r="K84" i="1" l="1"/>
  <c r="A86" i="1"/>
  <c r="J85" i="1"/>
  <c r="F85" i="1"/>
  <c r="K85" i="1" l="1"/>
  <c r="A87" i="1"/>
  <c r="J86" i="1"/>
  <c r="F86" i="1"/>
  <c r="K86" i="1" l="1"/>
  <c r="A88" i="1"/>
  <c r="J87" i="1"/>
  <c r="F87" i="1"/>
  <c r="K87" i="1" l="1"/>
  <c r="A89" i="1"/>
  <c r="J88" i="1"/>
  <c r="K88" i="1" s="1"/>
  <c r="F88" i="1"/>
  <c r="A90" i="1" l="1"/>
  <c r="J89" i="1"/>
  <c r="F89" i="1"/>
  <c r="K89" i="1" l="1"/>
  <c r="A91" i="1"/>
  <c r="J90" i="1"/>
  <c r="F90" i="1"/>
  <c r="K90" i="1" l="1"/>
  <c r="A92" i="1"/>
  <c r="J91" i="1"/>
  <c r="K91" i="1" s="1"/>
  <c r="F91" i="1"/>
  <c r="A93" i="1" l="1"/>
  <c r="J92" i="1"/>
  <c r="F92" i="1"/>
  <c r="K92" i="1" l="1"/>
  <c r="A94" i="1"/>
  <c r="J93" i="1"/>
  <c r="K93" i="1" s="1"/>
  <c r="F93" i="1"/>
  <c r="A95" i="1" l="1"/>
  <c r="J94" i="1"/>
  <c r="F94" i="1"/>
  <c r="K94" i="1" l="1"/>
  <c r="A96" i="1"/>
  <c r="J95" i="1"/>
  <c r="F95" i="1"/>
  <c r="K95" i="1" l="1"/>
  <c r="A97" i="1"/>
  <c r="J96" i="1"/>
  <c r="F96" i="1"/>
  <c r="K96" i="1" l="1"/>
  <c r="A98" i="1"/>
  <c r="J97" i="1"/>
  <c r="K97" i="1" s="1"/>
  <c r="F97" i="1"/>
  <c r="A99" i="1" l="1"/>
  <c r="J98" i="1"/>
  <c r="F98" i="1"/>
  <c r="K98" i="1" l="1"/>
  <c r="A100" i="1"/>
  <c r="J99" i="1"/>
  <c r="F99" i="1"/>
  <c r="K99" i="1" l="1"/>
  <c r="A101" i="1"/>
  <c r="J100" i="1"/>
  <c r="K100" i="1" s="1"/>
  <c r="F100" i="1"/>
  <c r="A102" i="1" l="1"/>
  <c r="J101" i="1"/>
  <c r="F101" i="1"/>
  <c r="K101" i="1" l="1"/>
  <c r="A103" i="1"/>
  <c r="J102" i="1"/>
  <c r="F102" i="1"/>
  <c r="K102" i="1" l="1"/>
  <c r="A104" i="1"/>
  <c r="J103" i="1"/>
  <c r="F103" i="1"/>
  <c r="A105" i="1" l="1"/>
  <c r="J104" i="1"/>
  <c r="F104" i="1"/>
  <c r="K103" i="1"/>
  <c r="K104" i="1" l="1"/>
  <c r="A106" i="1"/>
  <c r="J105" i="1"/>
  <c r="F105" i="1"/>
  <c r="K105" i="1" l="1"/>
  <c r="A107" i="1"/>
  <c r="J106" i="1"/>
  <c r="F106" i="1"/>
  <c r="K106" i="1" l="1"/>
  <c r="A108" i="1"/>
  <c r="J107" i="1"/>
  <c r="F107" i="1"/>
  <c r="K107" i="1" l="1"/>
  <c r="A109" i="1"/>
  <c r="J108" i="1"/>
  <c r="F108" i="1"/>
  <c r="K108" i="1" l="1"/>
  <c r="A110" i="1"/>
  <c r="J109" i="1"/>
  <c r="F109" i="1"/>
  <c r="K109" i="1" l="1"/>
  <c r="A111" i="1"/>
  <c r="J110" i="1"/>
  <c r="F110" i="1"/>
  <c r="K110" i="1" l="1"/>
  <c r="A112" i="1"/>
  <c r="J111" i="1"/>
  <c r="F111" i="1"/>
  <c r="K111" i="1" l="1"/>
  <c r="A113" i="1"/>
  <c r="J112" i="1"/>
  <c r="F112" i="1"/>
  <c r="A114" i="1" l="1"/>
  <c r="J113" i="1"/>
  <c r="F113" i="1"/>
  <c r="K112" i="1"/>
  <c r="K113" i="1" l="1"/>
  <c r="A115" i="1"/>
  <c r="J114" i="1"/>
  <c r="F114" i="1"/>
  <c r="A116" i="1" l="1"/>
  <c r="J115" i="1"/>
  <c r="F115" i="1"/>
  <c r="K114" i="1"/>
  <c r="K115" i="1" l="1"/>
  <c r="A117" i="1"/>
  <c r="J116" i="1"/>
  <c r="K116" i="1" s="1"/>
  <c r="F116" i="1"/>
  <c r="A118" i="1" l="1"/>
  <c r="J117" i="1"/>
  <c r="F117" i="1"/>
  <c r="K117" i="1" l="1"/>
  <c r="A119" i="1"/>
  <c r="J118" i="1"/>
  <c r="F118" i="1"/>
  <c r="K118" i="1" l="1"/>
  <c r="A120" i="1"/>
  <c r="J119" i="1"/>
  <c r="F119" i="1"/>
  <c r="K119" i="1" l="1"/>
  <c r="A121" i="1"/>
  <c r="J120" i="1"/>
  <c r="F120" i="1"/>
  <c r="K120" i="1" l="1"/>
  <c r="A122" i="1"/>
  <c r="J121" i="1"/>
  <c r="F121" i="1"/>
  <c r="K121" i="1" l="1"/>
  <c r="A123" i="1"/>
  <c r="J122" i="1"/>
  <c r="K122" i="1" s="1"/>
  <c r="F122" i="1"/>
  <c r="A124" i="1" l="1"/>
  <c r="J123" i="1"/>
  <c r="F123" i="1"/>
  <c r="K123" i="1" l="1"/>
  <c r="A125" i="1"/>
  <c r="J124" i="1"/>
  <c r="F124" i="1"/>
  <c r="K124" i="1" l="1"/>
  <c r="A126" i="1"/>
  <c r="J125" i="1"/>
  <c r="F125" i="1"/>
  <c r="K125" i="1" l="1"/>
  <c r="A127" i="1"/>
  <c r="J126" i="1"/>
  <c r="F126" i="1"/>
  <c r="K126" i="1" l="1"/>
  <c r="A128" i="1"/>
  <c r="J127" i="1"/>
  <c r="F127" i="1"/>
  <c r="K127" i="1" l="1"/>
  <c r="A129" i="1"/>
  <c r="J128" i="1"/>
  <c r="F128" i="1"/>
  <c r="K128" i="1" l="1"/>
  <c r="A130" i="1"/>
  <c r="J129" i="1"/>
  <c r="K129" i="1" s="1"/>
  <c r="F129" i="1"/>
  <c r="A131" i="1" l="1"/>
  <c r="J130" i="1"/>
  <c r="F130" i="1"/>
  <c r="K130" i="1" l="1"/>
  <c r="A132" i="1"/>
  <c r="J131" i="1"/>
  <c r="F131" i="1"/>
  <c r="A133" i="1" l="1"/>
  <c r="J132" i="1"/>
  <c r="F132" i="1"/>
  <c r="K131" i="1"/>
  <c r="K132" i="1" l="1"/>
  <c r="A134" i="1"/>
  <c r="J133" i="1"/>
  <c r="F133" i="1"/>
  <c r="A135" i="1" l="1"/>
  <c r="J134" i="1"/>
  <c r="F134" i="1"/>
  <c r="K133" i="1"/>
  <c r="K134" i="1" l="1"/>
  <c r="A136" i="1"/>
  <c r="J135" i="1"/>
  <c r="K135" i="1" s="1"/>
  <c r="F135" i="1"/>
  <c r="A137" i="1" l="1"/>
  <c r="J136" i="1"/>
  <c r="F136" i="1"/>
  <c r="K136" i="1" l="1"/>
  <c r="A138" i="1"/>
  <c r="J137" i="1"/>
  <c r="F137" i="1"/>
  <c r="K137" i="1" l="1"/>
  <c r="A139" i="1"/>
  <c r="J138" i="1"/>
  <c r="F138" i="1"/>
  <c r="K138" i="1" l="1"/>
  <c r="A140" i="1"/>
  <c r="J139" i="1"/>
  <c r="F139" i="1"/>
  <c r="K139" i="1" l="1"/>
  <c r="A141" i="1"/>
  <c r="J140" i="1"/>
  <c r="K140" i="1" s="1"/>
  <c r="F140" i="1"/>
  <c r="A142" i="1" l="1"/>
  <c r="J141" i="1"/>
  <c r="F141" i="1"/>
  <c r="K141" i="1" l="1"/>
  <c r="A143" i="1"/>
  <c r="J142" i="1"/>
  <c r="F142" i="1"/>
  <c r="K142" i="1" l="1"/>
  <c r="A144" i="1"/>
  <c r="J143" i="1"/>
  <c r="F143" i="1"/>
  <c r="K143" i="1" l="1"/>
  <c r="A145" i="1"/>
  <c r="J144" i="1"/>
  <c r="F144" i="1"/>
  <c r="K144" i="1" l="1"/>
  <c r="A146" i="1"/>
  <c r="J145" i="1"/>
  <c r="F145" i="1"/>
  <c r="K145" i="1" l="1"/>
  <c r="A147" i="1"/>
  <c r="J146" i="1"/>
  <c r="F146" i="1"/>
  <c r="K146" i="1" l="1"/>
  <c r="A148" i="1"/>
  <c r="J147" i="1"/>
  <c r="F147" i="1"/>
  <c r="K147" i="1" l="1"/>
  <c r="A149" i="1"/>
  <c r="J148" i="1"/>
  <c r="F148" i="1"/>
  <c r="K148" i="1" l="1"/>
  <c r="A150" i="1"/>
  <c r="J149" i="1"/>
  <c r="F149" i="1"/>
  <c r="K149" i="1" l="1"/>
  <c r="A151" i="1"/>
  <c r="J150" i="1"/>
  <c r="F150" i="1"/>
  <c r="K150" i="1" l="1"/>
  <c r="A152" i="1"/>
  <c r="J151" i="1"/>
  <c r="F151" i="1"/>
  <c r="K151" i="1" l="1"/>
  <c r="A153" i="1"/>
  <c r="J152" i="1"/>
  <c r="F152" i="1"/>
  <c r="K152" i="1" l="1"/>
  <c r="A154" i="1"/>
  <c r="J153" i="1"/>
  <c r="F153" i="1"/>
  <c r="K153" i="1" l="1"/>
  <c r="A155" i="1"/>
  <c r="J154" i="1"/>
  <c r="F154" i="1"/>
  <c r="K154" i="1" l="1"/>
  <c r="A156" i="1"/>
  <c r="J155" i="1"/>
  <c r="F155" i="1"/>
  <c r="K155" i="1" l="1"/>
  <c r="A157" i="1"/>
  <c r="J156" i="1"/>
  <c r="F156" i="1"/>
  <c r="K156" i="1" l="1"/>
  <c r="A158" i="1"/>
  <c r="J157" i="1"/>
  <c r="F157" i="1"/>
  <c r="K157" i="1" l="1"/>
  <c r="A159" i="1"/>
  <c r="J158" i="1"/>
  <c r="F158" i="1"/>
  <c r="K158" i="1" l="1"/>
  <c r="A160" i="1"/>
  <c r="J159" i="1"/>
  <c r="F159" i="1"/>
  <c r="K159" i="1" l="1"/>
  <c r="A161" i="1"/>
  <c r="J160" i="1"/>
  <c r="F160" i="1"/>
  <c r="A162" i="1" l="1"/>
  <c r="J161" i="1"/>
  <c r="K161" i="1" s="1"/>
  <c r="F161" i="1"/>
  <c r="K160" i="1"/>
  <c r="A163" i="1" l="1"/>
  <c r="J162" i="1"/>
  <c r="F162" i="1"/>
  <c r="K162" i="1" l="1"/>
  <c r="A164" i="1"/>
  <c r="J163" i="1"/>
  <c r="K163" i="1" s="1"/>
  <c r="F163" i="1"/>
  <c r="A165" i="1" l="1"/>
  <c r="J164" i="1"/>
  <c r="F164" i="1"/>
  <c r="K164" i="1" l="1"/>
  <c r="A166" i="1"/>
  <c r="J165" i="1"/>
  <c r="F165" i="1"/>
  <c r="K165" i="1" l="1"/>
  <c r="A167" i="1"/>
  <c r="J166" i="1"/>
  <c r="K166" i="1" s="1"/>
  <c r="F166" i="1"/>
  <c r="A168" i="1" l="1"/>
  <c r="J167" i="1"/>
  <c r="F167" i="1"/>
  <c r="K167" i="1" l="1"/>
  <c r="A169" i="1"/>
  <c r="J168" i="1"/>
  <c r="K168" i="1" s="1"/>
  <c r="F168" i="1"/>
  <c r="A170" i="1" l="1"/>
  <c r="J169" i="1"/>
  <c r="F169" i="1"/>
  <c r="K169" i="1" l="1"/>
  <c r="A171" i="1"/>
  <c r="J170" i="1"/>
  <c r="F170" i="1"/>
  <c r="K170" i="1" l="1"/>
  <c r="A172" i="1"/>
  <c r="J171" i="1"/>
  <c r="F171" i="1"/>
  <c r="K171" i="1" l="1"/>
  <c r="A173" i="1"/>
  <c r="J172" i="1"/>
  <c r="F172" i="1"/>
  <c r="K172" i="1" l="1"/>
  <c r="A174" i="1"/>
  <c r="J173" i="1"/>
  <c r="F173" i="1"/>
  <c r="K173" i="1" l="1"/>
  <c r="A175" i="1"/>
  <c r="J174" i="1"/>
  <c r="F174" i="1"/>
  <c r="K174" i="1" l="1"/>
  <c r="A176" i="1"/>
  <c r="J175" i="1"/>
  <c r="F175" i="1"/>
  <c r="K175" i="1" l="1"/>
  <c r="A177" i="1"/>
  <c r="J176" i="1"/>
  <c r="K176" i="1" s="1"/>
  <c r="F176" i="1"/>
  <c r="A178" i="1" l="1"/>
  <c r="J177" i="1"/>
  <c r="F177" i="1"/>
  <c r="K177" i="1" l="1"/>
  <c r="A179" i="1"/>
  <c r="J178" i="1"/>
  <c r="F178" i="1"/>
  <c r="K178" i="1" l="1"/>
  <c r="A180" i="1"/>
  <c r="J179" i="1"/>
  <c r="F179" i="1"/>
  <c r="K179" i="1" l="1"/>
  <c r="A181" i="1"/>
  <c r="J180" i="1"/>
  <c r="F180" i="1"/>
  <c r="K180" i="1" l="1"/>
  <c r="A182" i="1"/>
  <c r="J181" i="1"/>
  <c r="F181" i="1"/>
  <c r="K181" i="1" l="1"/>
  <c r="A183" i="1"/>
  <c r="J182" i="1"/>
  <c r="K182" i="1" s="1"/>
  <c r="F182" i="1"/>
  <c r="A184" i="1" l="1"/>
  <c r="J183" i="1"/>
  <c r="F183" i="1"/>
  <c r="K183" i="1" l="1"/>
  <c r="A185" i="1"/>
  <c r="J184" i="1"/>
  <c r="F184" i="1"/>
  <c r="K184" i="1" l="1"/>
  <c r="A186" i="1"/>
  <c r="J185" i="1"/>
  <c r="K185" i="1" s="1"/>
  <c r="F185" i="1"/>
  <c r="A187" i="1" l="1"/>
  <c r="J186" i="1"/>
  <c r="F186" i="1"/>
  <c r="K186" i="1" l="1"/>
  <c r="A188" i="1"/>
  <c r="J187" i="1"/>
  <c r="K187" i="1" s="1"/>
  <c r="F187" i="1"/>
  <c r="A189" i="1" l="1"/>
  <c r="J188" i="1"/>
  <c r="F188" i="1"/>
  <c r="K188" i="1" l="1"/>
  <c r="A190" i="1"/>
  <c r="J189" i="1"/>
  <c r="K189" i="1" s="1"/>
  <c r="F189" i="1"/>
  <c r="A191" i="1" l="1"/>
  <c r="J190" i="1"/>
  <c r="F190" i="1"/>
  <c r="K190" i="1" l="1"/>
  <c r="A192" i="1"/>
  <c r="J191" i="1"/>
  <c r="F191" i="1"/>
  <c r="K191" i="1" l="1"/>
  <c r="A193" i="1"/>
  <c r="J192" i="1"/>
  <c r="F192" i="1"/>
  <c r="A194" i="1" l="1"/>
  <c r="J193" i="1"/>
  <c r="F193" i="1"/>
  <c r="K192" i="1"/>
  <c r="K193" i="1" l="1"/>
  <c r="A195" i="1"/>
  <c r="J194" i="1"/>
  <c r="F194" i="1"/>
  <c r="K194" i="1" l="1"/>
  <c r="A196" i="1"/>
  <c r="J195" i="1"/>
  <c r="K195" i="1" s="1"/>
  <c r="F195" i="1"/>
  <c r="A197" i="1" l="1"/>
  <c r="J196" i="1"/>
  <c r="F196" i="1"/>
  <c r="K196" i="1" l="1"/>
  <c r="A198" i="1"/>
  <c r="J197" i="1"/>
  <c r="F197" i="1"/>
  <c r="K197" i="1" l="1"/>
  <c r="A199" i="1"/>
  <c r="J198" i="1"/>
  <c r="F198" i="1"/>
  <c r="K198" i="1" l="1"/>
  <c r="A200" i="1"/>
  <c r="J199" i="1"/>
  <c r="F199" i="1"/>
  <c r="K199" i="1" l="1"/>
  <c r="A201" i="1"/>
  <c r="J200" i="1"/>
  <c r="F200" i="1"/>
  <c r="K200" i="1" l="1"/>
  <c r="A202" i="1"/>
  <c r="J201" i="1"/>
  <c r="F201" i="1"/>
  <c r="K201" i="1" l="1"/>
  <c r="A203" i="1"/>
  <c r="J202" i="1"/>
  <c r="F202" i="1"/>
  <c r="K202" i="1" l="1"/>
  <c r="A204" i="1"/>
  <c r="J203" i="1"/>
  <c r="F203" i="1"/>
  <c r="K203" i="1" l="1"/>
  <c r="A205" i="1"/>
  <c r="J204" i="1"/>
  <c r="F204" i="1"/>
  <c r="K204" i="1" l="1"/>
  <c r="A206" i="1"/>
  <c r="J205" i="1"/>
  <c r="F205" i="1"/>
  <c r="K205" i="1" l="1"/>
  <c r="A207" i="1"/>
  <c r="J206" i="1"/>
  <c r="K206" i="1" s="1"/>
  <c r="F206" i="1"/>
  <c r="A208" i="1" l="1"/>
  <c r="J207" i="1"/>
  <c r="F207" i="1"/>
  <c r="K207" i="1" l="1"/>
  <c r="A209" i="1"/>
  <c r="J208" i="1"/>
  <c r="F208" i="1"/>
  <c r="K208" i="1" l="1"/>
  <c r="A210" i="1"/>
  <c r="J209" i="1"/>
  <c r="F209" i="1"/>
  <c r="K209" i="1" l="1"/>
  <c r="A211" i="1"/>
  <c r="J210" i="1"/>
  <c r="F210" i="1"/>
  <c r="K210" i="1" l="1"/>
  <c r="A212" i="1"/>
  <c r="J211" i="1"/>
  <c r="F211" i="1"/>
  <c r="K211" i="1" l="1"/>
  <c r="A213" i="1"/>
  <c r="J212" i="1"/>
  <c r="F212" i="1"/>
  <c r="K212" i="1" l="1"/>
  <c r="A214" i="1"/>
  <c r="J213" i="1"/>
  <c r="F213" i="1"/>
  <c r="K213" i="1" l="1"/>
  <c r="A215" i="1"/>
  <c r="J214" i="1"/>
  <c r="K214" i="1" s="1"/>
  <c r="F214" i="1"/>
  <c r="A216" i="1" l="1"/>
  <c r="J215" i="1"/>
  <c r="F215" i="1"/>
  <c r="K215" i="1" l="1"/>
  <c r="A217" i="1"/>
  <c r="J216" i="1"/>
  <c r="F216" i="1"/>
  <c r="A218" i="1" l="1"/>
  <c r="J217" i="1"/>
  <c r="F217" i="1"/>
  <c r="K216" i="1"/>
  <c r="K217" i="1" l="1"/>
  <c r="A219" i="1"/>
  <c r="J218" i="1"/>
  <c r="F218" i="1"/>
  <c r="K218" i="1" l="1"/>
  <c r="A220" i="1"/>
  <c r="J219" i="1"/>
  <c r="F219" i="1"/>
  <c r="K219" i="1" l="1"/>
  <c r="A221" i="1"/>
  <c r="J220" i="1"/>
  <c r="F220" i="1"/>
  <c r="K220" i="1" l="1"/>
  <c r="A222" i="1"/>
  <c r="J221" i="1"/>
  <c r="F221" i="1"/>
  <c r="K221" i="1" l="1"/>
  <c r="A223" i="1"/>
  <c r="J222" i="1"/>
  <c r="F222" i="1"/>
  <c r="K222" i="1" l="1"/>
  <c r="A224" i="1"/>
  <c r="J223" i="1"/>
  <c r="K223" i="1" s="1"/>
  <c r="F223" i="1"/>
  <c r="A225" i="1" l="1"/>
  <c r="J224" i="1"/>
  <c r="F224" i="1"/>
  <c r="K224" i="1" l="1"/>
  <c r="A226" i="1"/>
  <c r="J225" i="1"/>
  <c r="K225" i="1" s="1"/>
  <c r="F225" i="1"/>
  <c r="A227" i="1" l="1"/>
  <c r="J226" i="1"/>
  <c r="F226" i="1"/>
  <c r="K226" i="1" l="1"/>
  <c r="A228" i="1"/>
  <c r="J227" i="1"/>
  <c r="F227" i="1"/>
  <c r="K227" i="1" l="1"/>
  <c r="A229" i="1"/>
  <c r="J228" i="1"/>
  <c r="F228" i="1"/>
  <c r="K228" i="1" l="1"/>
  <c r="A230" i="1"/>
  <c r="J229" i="1"/>
  <c r="F229" i="1"/>
  <c r="K229" i="1" l="1"/>
  <c r="A231" i="1"/>
  <c r="J230" i="1"/>
  <c r="F230" i="1"/>
  <c r="A232" i="1" l="1"/>
  <c r="J231" i="1"/>
  <c r="F231" i="1"/>
  <c r="K230" i="1"/>
  <c r="K231" i="1" l="1"/>
  <c r="A233" i="1"/>
  <c r="J232" i="1"/>
  <c r="F232" i="1"/>
  <c r="K232" i="1" l="1"/>
  <c r="A234" i="1"/>
  <c r="J233" i="1"/>
  <c r="F233" i="1"/>
  <c r="K233" i="1" l="1"/>
  <c r="A235" i="1"/>
  <c r="J234" i="1"/>
  <c r="F234" i="1"/>
  <c r="K234" i="1" l="1"/>
  <c r="A236" i="1"/>
  <c r="J235" i="1"/>
  <c r="F235" i="1"/>
  <c r="K235" i="1" l="1"/>
  <c r="A237" i="1"/>
  <c r="J236" i="1"/>
  <c r="F236" i="1"/>
  <c r="K236" i="1" l="1"/>
  <c r="A238" i="1"/>
  <c r="J237" i="1"/>
  <c r="F237" i="1"/>
  <c r="K237" i="1" l="1"/>
  <c r="A239" i="1"/>
  <c r="J238" i="1"/>
  <c r="F238" i="1"/>
  <c r="K238" i="1" l="1"/>
  <c r="A240" i="1"/>
  <c r="J239" i="1"/>
  <c r="F239" i="1"/>
  <c r="K239" i="1" l="1"/>
  <c r="A241" i="1"/>
  <c r="J240" i="1"/>
  <c r="F240" i="1"/>
  <c r="K240" i="1" l="1"/>
  <c r="A242" i="1"/>
  <c r="J241" i="1"/>
  <c r="F241" i="1"/>
  <c r="K241" i="1" l="1"/>
  <c r="A243" i="1"/>
  <c r="J242" i="1"/>
  <c r="F242" i="1"/>
  <c r="K242" i="1" l="1"/>
  <c r="A244" i="1"/>
  <c r="J243" i="1"/>
  <c r="F243" i="1"/>
  <c r="K243" i="1" l="1"/>
  <c r="A245" i="1"/>
  <c r="J244" i="1"/>
  <c r="K244" i="1" s="1"/>
  <c r="F244" i="1"/>
  <c r="A246" i="1" l="1"/>
  <c r="J245" i="1"/>
  <c r="F245" i="1"/>
  <c r="K245" i="1" l="1"/>
  <c r="A247" i="1"/>
  <c r="J246" i="1"/>
  <c r="F246" i="1"/>
  <c r="A248" i="1" l="1"/>
  <c r="J247" i="1"/>
  <c r="F247" i="1"/>
  <c r="K246" i="1"/>
  <c r="K247" i="1" l="1"/>
  <c r="A249" i="1"/>
  <c r="J248" i="1"/>
  <c r="F248" i="1"/>
  <c r="K248" i="1" l="1"/>
  <c r="A250" i="1"/>
  <c r="J249" i="1"/>
  <c r="F249" i="1"/>
  <c r="K249" i="1" l="1"/>
  <c r="A251" i="1"/>
  <c r="J250" i="1"/>
  <c r="F250" i="1"/>
  <c r="K250" i="1" l="1"/>
  <c r="A252" i="1"/>
  <c r="J251" i="1"/>
  <c r="F251" i="1"/>
  <c r="K251" i="1" l="1"/>
  <c r="A253" i="1"/>
  <c r="J252" i="1"/>
  <c r="F252" i="1"/>
  <c r="K252" i="1" l="1"/>
  <c r="A254" i="1"/>
  <c r="J253" i="1"/>
  <c r="F253" i="1"/>
  <c r="K253" i="1" l="1"/>
  <c r="A255" i="1"/>
  <c r="J254" i="1"/>
  <c r="F254" i="1"/>
  <c r="K254" i="1" l="1"/>
  <c r="A256" i="1"/>
  <c r="J255" i="1"/>
  <c r="K255" i="1" s="1"/>
  <c r="F255" i="1"/>
  <c r="A257" i="1" l="1"/>
  <c r="J256" i="1"/>
  <c r="F256" i="1"/>
  <c r="A258" i="1" l="1"/>
  <c r="J257" i="1"/>
  <c r="K257" i="1" s="1"/>
  <c r="F257" i="1"/>
  <c r="K256" i="1"/>
  <c r="A259" i="1" l="1"/>
  <c r="J258" i="1"/>
  <c r="F258" i="1"/>
  <c r="K258" i="1" l="1"/>
  <c r="A260" i="1"/>
  <c r="J259" i="1"/>
  <c r="F259" i="1"/>
  <c r="K259" i="1" l="1"/>
  <c r="A261" i="1"/>
  <c r="J260" i="1"/>
  <c r="F260" i="1"/>
  <c r="K260" i="1" l="1"/>
  <c r="A262" i="1"/>
  <c r="J261" i="1"/>
  <c r="F261" i="1"/>
  <c r="K261" i="1" l="1"/>
  <c r="A263" i="1"/>
  <c r="J262" i="1"/>
  <c r="F262" i="1"/>
  <c r="K262" i="1" l="1"/>
  <c r="A264" i="1"/>
  <c r="J263" i="1"/>
  <c r="F263" i="1"/>
  <c r="K263" i="1" l="1"/>
  <c r="A265" i="1"/>
  <c r="J264" i="1"/>
  <c r="F264" i="1"/>
  <c r="K264" i="1" l="1"/>
  <c r="A266" i="1"/>
  <c r="J265" i="1"/>
  <c r="F265" i="1"/>
  <c r="K265" i="1" l="1"/>
  <c r="A267" i="1"/>
  <c r="J266" i="1"/>
  <c r="F266" i="1"/>
  <c r="K266" i="1" l="1"/>
  <c r="A268" i="1"/>
  <c r="J267" i="1"/>
  <c r="F267" i="1"/>
  <c r="K267" i="1" l="1"/>
  <c r="A269" i="1"/>
  <c r="J268" i="1"/>
  <c r="F268" i="1"/>
  <c r="K268" i="1" l="1"/>
  <c r="A270" i="1"/>
  <c r="J269" i="1"/>
  <c r="F269" i="1"/>
  <c r="K269" i="1" l="1"/>
  <c r="A271" i="1"/>
  <c r="J270" i="1"/>
  <c r="F270" i="1"/>
  <c r="K270" i="1" l="1"/>
  <c r="A272" i="1"/>
  <c r="J271" i="1"/>
  <c r="F271" i="1"/>
  <c r="K271" i="1" l="1"/>
  <c r="A273" i="1"/>
  <c r="J272" i="1"/>
  <c r="F272" i="1"/>
  <c r="K272" i="1" l="1"/>
  <c r="A274" i="1"/>
  <c r="J273" i="1"/>
  <c r="F273" i="1"/>
  <c r="K273" i="1" l="1"/>
  <c r="A275" i="1"/>
  <c r="J274" i="1"/>
  <c r="K274" i="1" s="1"/>
  <c r="F274" i="1"/>
  <c r="A276" i="1" l="1"/>
  <c r="J275" i="1"/>
  <c r="F275" i="1"/>
  <c r="K275" i="1" l="1"/>
  <c r="A277" i="1"/>
  <c r="J276" i="1"/>
  <c r="F276" i="1"/>
  <c r="K276" i="1" l="1"/>
  <c r="A278" i="1"/>
  <c r="J277" i="1"/>
  <c r="K277" i="1" s="1"/>
  <c r="F277" i="1"/>
  <c r="A279" i="1" l="1"/>
  <c r="J278" i="1"/>
  <c r="F278" i="1"/>
  <c r="K278" i="1" l="1"/>
  <c r="A280" i="1"/>
  <c r="J279" i="1"/>
  <c r="F279" i="1"/>
  <c r="K279" i="1" l="1"/>
  <c r="A281" i="1"/>
  <c r="J280" i="1"/>
  <c r="K280" i="1" s="1"/>
  <c r="F280" i="1"/>
  <c r="A282" i="1" l="1"/>
  <c r="J281" i="1"/>
  <c r="F281" i="1"/>
  <c r="K281" i="1" l="1"/>
  <c r="A283" i="1"/>
  <c r="J282" i="1"/>
  <c r="F282" i="1"/>
  <c r="K282" i="1" l="1"/>
  <c r="A284" i="1"/>
  <c r="J283" i="1"/>
  <c r="F283" i="1"/>
  <c r="K283" i="1" l="1"/>
  <c r="A285" i="1"/>
  <c r="J284" i="1"/>
  <c r="F284" i="1"/>
  <c r="K284" i="1" l="1"/>
  <c r="A286" i="1"/>
  <c r="J285" i="1"/>
  <c r="F285" i="1"/>
  <c r="K285" i="1" l="1"/>
  <c r="A287" i="1"/>
  <c r="J286" i="1"/>
  <c r="F286" i="1"/>
  <c r="K286" i="1" l="1"/>
  <c r="A288" i="1"/>
  <c r="J287" i="1"/>
  <c r="F287" i="1"/>
  <c r="K287" i="1" l="1"/>
  <c r="A289" i="1"/>
  <c r="J288" i="1"/>
  <c r="F288" i="1"/>
  <c r="K288" i="1" l="1"/>
  <c r="A290" i="1"/>
  <c r="J289" i="1"/>
  <c r="F289" i="1"/>
  <c r="K289" i="1" l="1"/>
  <c r="A291" i="1"/>
  <c r="J290" i="1"/>
  <c r="F290" i="1"/>
  <c r="K290" i="1" l="1"/>
  <c r="A292" i="1"/>
  <c r="J291" i="1"/>
  <c r="F291" i="1"/>
  <c r="K291" i="1" l="1"/>
  <c r="A293" i="1"/>
  <c r="J292" i="1"/>
  <c r="F292" i="1"/>
  <c r="K292" i="1" l="1"/>
  <c r="A294" i="1"/>
  <c r="J293" i="1"/>
  <c r="F293" i="1"/>
  <c r="K293" i="1" l="1"/>
  <c r="A295" i="1"/>
  <c r="J294" i="1"/>
  <c r="F294" i="1"/>
  <c r="K294" i="1" l="1"/>
  <c r="A296" i="1"/>
  <c r="J295" i="1"/>
  <c r="F295" i="1"/>
  <c r="K295" i="1" l="1"/>
  <c r="A297" i="1"/>
  <c r="J296" i="1"/>
  <c r="F296" i="1"/>
  <c r="K296" i="1" l="1"/>
  <c r="A298" i="1"/>
  <c r="J297" i="1"/>
  <c r="F297" i="1"/>
  <c r="K297" i="1" l="1"/>
  <c r="A299" i="1"/>
  <c r="J298" i="1"/>
  <c r="F298" i="1"/>
  <c r="K298" i="1" l="1"/>
  <c r="A300" i="1"/>
  <c r="J299" i="1"/>
  <c r="K299" i="1" s="1"/>
  <c r="F299" i="1"/>
  <c r="A301" i="1" l="1"/>
  <c r="J300" i="1"/>
  <c r="F300" i="1"/>
  <c r="K300" i="1" l="1"/>
  <c r="A302" i="1"/>
  <c r="J301" i="1"/>
  <c r="F301" i="1"/>
  <c r="K301" i="1" l="1"/>
  <c r="A303" i="1"/>
  <c r="J302" i="1"/>
  <c r="F302" i="1"/>
  <c r="K302" i="1" l="1"/>
  <c r="A304" i="1"/>
  <c r="J303" i="1"/>
  <c r="F303" i="1"/>
  <c r="K303" i="1" l="1"/>
  <c r="A305" i="1"/>
  <c r="J304" i="1"/>
  <c r="F304" i="1"/>
  <c r="K304" i="1" l="1"/>
  <c r="A306" i="1"/>
  <c r="J305" i="1"/>
  <c r="K305" i="1" s="1"/>
  <c r="F305" i="1"/>
  <c r="A307" i="1" l="1"/>
  <c r="J306" i="1"/>
  <c r="F306" i="1"/>
  <c r="K306" i="1" l="1"/>
  <c r="A308" i="1"/>
  <c r="J307" i="1"/>
  <c r="F307" i="1"/>
  <c r="K307" i="1" l="1"/>
  <c r="A309" i="1"/>
  <c r="J308" i="1"/>
  <c r="F308" i="1"/>
  <c r="K308" i="1" l="1"/>
  <c r="A310" i="1"/>
  <c r="J309" i="1"/>
  <c r="F309" i="1"/>
  <c r="K309" i="1" l="1"/>
  <c r="A311" i="1"/>
  <c r="J310" i="1"/>
  <c r="F310" i="1"/>
  <c r="K310" i="1" l="1"/>
  <c r="A312" i="1"/>
  <c r="J311" i="1"/>
  <c r="F311" i="1"/>
  <c r="K311" i="1" l="1"/>
  <c r="A313" i="1"/>
  <c r="J312" i="1"/>
  <c r="F312" i="1"/>
  <c r="K312" i="1" l="1"/>
  <c r="A314" i="1"/>
  <c r="J313" i="1"/>
  <c r="K313" i="1" s="1"/>
  <c r="F313" i="1"/>
  <c r="A315" i="1" l="1"/>
  <c r="J314" i="1"/>
  <c r="F314" i="1"/>
  <c r="K314" i="1" l="1"/>
  <c r="A316" i="1"/>
  <c r="J315" i="1"/>
  <c r="F315" i="1"/>
  <c r="K315" i="1" l="1"/>
  <c r="A317" i="1"/>
  <c r="J316" i="1"/>
  <c r="F316" i="1"/>
  <c r="K316" i="1" l="1"/>
  <c r="A318" i="1"/>
  <c r="J317" i="1"/>
  <c r="F317" i="1"/>
  <c r="K317" i="1" l="1"/>
  <c r="A319" i="1"/>
  <c r="J318" i="1"/>
  <c r="F318" i="1"/>
  <c r="K318" i="1" l="1"/>
  <c r="A320" i="1"/>
  <c r="J319" i="1"/>
  <c r="F319" i="1"/>
  <c r="K319" i="1" l="1"/>
  <c r="A321" i="1"/>
  <c r="J320" i="1"/>
  <c r="F320" i="1"/>
  <c r="K320" i="1" l="1"/>
  <c r="A322" i="1"/>
  <c r="J321" i="1"/>
  <c r="F321" i="1"/>
  <c r="K321" i="1" l="1"/>
  <c r="A323" i="1"/>
  <c r="J322" i="1"/>
  <c r="F322" i="1"/>
  <c r="K322" i="1" l="1"/>
  <c r="A324" i="1"/>
  <c r="J323" i="1"/>
  <c r="F323" i="1"/>
  <c r="K323" i="1" l="1"/>
  <c r="A325" i="1"/>
  <c r="J324" i="1"/>
  <c r="F324" i="1"/>
  <c r="K324" i="1" l="1"/>
  <c r="A326" i="1"/>
  <c r="J325" i="1"/>
  <c r="F325" i="1"/>
  <c r="K325" i="1" l="1"/>
  <c r="A327" i="1"/>
  <c r="J326" i="1"/>
  <c r="F326" i="1"/>
  <c r="K326" i="1" l="1"/>
  <c r="A328" i="1"/>
  <c r="J327" i="1"/>
  <c r="F327" i="1"/>
  <c r="K327" i="1" l="1"/>
  <c r="A329" i="1"/>
  <c r="J328" i="1"/>
  <c r="F328" i="1"/>
  <c r="K328" i="1" l="1"/>
  <c r="A330" i="1"/>
  <c r="J329" i="1"/>
  <c r="F329" i="1"/>
  <c r="K329" i="1" l="1"/>
  <c r="A331" i="1"/>
  <c r="J330" i="1"/>
  <c r="F330" i="1"/>
  <c r="K330" i="1" l="1"/>
  <c r="A332" i="1"/>
  <c r="J331" i="1"/>
  <c r="K331" i="1" s="1"/>
  <c r="F331" i="1"/>
  <c r="A333" i="1" l="1"/>
  <c r="J332" i="1"/>
  <c r="F332" i="1"/>
  <c r="K332" i="1" l="1"/>
  <c r="A334" i="1"/>
  <c r="J333" i="1"/>
  <c r="F333" i="1"/>
  <c r="K333" i="1" l="1"/>
  <c r="A335" i="1"/>
  <c r="J334" i="1"/>
  <c r="F334" i="1"/>
  <c r="K334" i="1" l="1"/>
  <c r="A336" i="1"/>
  <c r="J335" i="1"/>
  <c r="F335" i="1"/>
  <c r="K335" i="1" l="1"/>
  <c r="A337" i="1"/>
  <c r="J336" i="1"/>
  <c r="F336" i="1"/>
  <c r="K336" i="1" l="1"/>
  <c r="A338" i="1"/>
  <c r="J337" i="1"/>
  <c r="F337" i="1"/>
  <c r="K337" i="1" l="1"/>
  <c r="A339" i="1"/>
  <c r="J338" i="1"/>
  <c r="F338" i="1"/>
  <c r="K338" i="1" l="1"/>
  <c r="A340" i="1"/>
  <c r="J339" i="1"/>
  <c r="F339" i="1"/>
  <c r="K339" i="1" l="1"/>
  <c r="A341" i="1"/>
  <c r="J340" i="1"/>
  <c r="K340" i="1" s="1"/>
  <c r="F340" i="1"/>
  <c r="A342" i="1" l="1"/>
  <c r="J341" i="1"/>
  <c r="F341" i="1"/>
  <c r="K341" i="1" l="1"/>
  <c r="A343" i="1"/>
  <c r="J342" i="1"/>
  <c r="F342" i="1"/>
  <c r="K342" i="1" l="1"/>
  <c r="A344" i="1"/>
  <c r="J343" i="1"/>
  <c r="K343" i="1" s="1"/>
  <c r="F343" i="1"/>
  <c r="A345" i="1" l="1"/>
  <c r="J344" i="1"/>
  <c r="F344" i="1"/>
  <c r="K344" i="1" l="1"/>
  <c r="A346" i="1"/>
  <c r="J345" i="1"/>
  <c r="F345" i="1"/>
  <c r="K345" i="1" l="1"/>
  <c r="A347" i="1"/>
  <c r="J346" i="1"/>
  <c r="F346" i="1"/>
  <c r="K346" i="1" l="1"/>
  <c r="A348" i="1"/>
  <c r="J347" i="1"/>
  <c r="F347" i="1"/>
  <c r="K347" i="1" l="1"/>
  <c r="A349" i="1"/>
  <c r="J348" i="1"/>
  <c r="F348" i="1"/>
  <c r="K348" i="1" l="1"/>
  <c r="A350" i="1"/>
  <c r="J349" i="1"/>
  <c r="F349" i="1"/>
  <c r="K349" i="1" l="1"/>
  <c r="A351" i="1"/>
  <c r="J350" i="1"/>
  <c r="F350" i="1"/>
  <c r="K350" i="1" l="1"/>
  <c r="A352" i="1"/>
  <c r="J351" i="1"/>
  <c r="F351" i="1"/>
  <c r="K351" i="1" l="1"/>
  <c r="A353" i="1"/>
  <c r="J352" i="1"/>
  <c r="F352" i="1"/>
  <c r="K352" i="1" l="1"/>
  <c r="A354" i="1"/>
  <c r="J353" i="1"/>
  <c r="K353" i="1" s="1"/>
  <c r="F353" i="1"/>
  <c r="A355" i="1" l="1"/>
  <c r="J354" i="1"/>
  <c r="F354" i="1"/>
  <c r="K354" i="1" l="1"/>
  <c r="A356" i="1"/>
  <c r="J355" i="1"/>
  <c r="F355" i="1"/>
  <c r="K355" i="1" l="1"/>
  <c r="A357" i="1"/>
  <c r="J356" i="1"/>
  <c r="F356" i="1"/>
  <c r="K356" i="1" l="1"/>
  <c r="A358" i="1"/>
  <c r="J357" i="1"/>
  <c r="F357" i="1"/>
  <c r="K357" i="1" l="1"/>
  <c r="A359" i="1"/>
  <c r="J358" i="1"/>
  <c r="F358" i="1"/>
  <c r="K358" i="1" l="1"/>
  <c r="A360" i="1"/>
  <c r="J359" i="1"/>
  <c r="F359" i="1"/>
  <c r="K359" i="1" l="1"/>
  <c r="A361" i="1"/>
  <c r="J360" i="1"/>
  <c r="F360" i="1"/>
  <c r="K360" i="1" l="1"/>
  <c r="A362" i="1"/>
  <c r="J361" i="1"/>
  <c r="F361" i="1"/>
  <c r="K361" i="1" l="1"/>
  <c r="A363" i="1"/>
  <c r="J362" i="1"/>
  <c r="F362" i="1"/>
  <c r="K362" i="1" l="1"/>
  <c r="A364" i="1"/>
  <c r="J363" i="1"/>
  <c r="F363" i="1"/>
  <c r="K363" i="1" l="1"/>
  <c r="A365" i="1"/>
  <c r="J364" i="1"/>
  <c r="F364" i="1"/>
  <c r="K364" i="1" l="1"/>
  <c r="A366" i="1"/>
  <c r="J365" i="1"/>
  <c r="F365" i="1"/>
  <c r="K365" i="1" l="1"/>
  <c r="A367" i="1"/>
  <c r="J366" i="1"/>
  <c r="F366" i="1"/>
  <c r="K366" i="1" l="1"/>
  <c r="A368" i="1"/>
  <c r="J367" i="1"/>
  <c r="F367" i="1"/>
  <c r="K367" i="1" l="1"/>
  <c r="A369" i="1"/>
  <c r="J368" i="1"/>
  <c r="F368" i="1"/>
  <c r="K368" i="1" l="1"/>
  <c r="A370" i="1"/>
  <c r="J369" i="1"/>
  <c r="F369" i="1"/>
  <c r="K369" i="1" l="1"/>
  <c r="A371" i="1"/>
  <c r="J370" i="1"/>
  <c r="F370" i="1"/>
  <c r="K370" i="1" l="1"/>
  <c r="A372" i="1"/>
  <c r="J371" i="1"/>
  <c r="F371" i="1"/>
  <c r="K371" i="1" l="1"/>
  <c r="A373" i="1"/>
  <c r="J372" i="1"/>
  <c r="F372" i="1"/>
  <c r="K372" i="1" l="1"/>
  <c r="A374" i="1"/>
  <c r="J373" i="1"/>
  <c r="K373" i="1" s="1"/>
  <c r="F373" i="1"/>
  <c r="A375" i="1" l="1"/>
  <c r="J374" i="1"/>
  <c r="F374" i="1"/>
  <c r="K374" i="1" l="1"/>
  <c r="A376" i="1"/>
  <c r="J375" i="1"/>
  <c r="F375" i="1"/>
  <c r="K375" i="1" l="1"/>
  <c r="A377" i="1"/>
  <c r="J376" i="1"/>
  <c r="F376" i="1"/>
  <c r="K376" i="1" l="1"/>
  <c r="A378" i="1"/>
  <c r="J377" i="1"/>
  <c r="F377" i="1"/>
  <c r="K377" i="1" l="1"/>
  <c r="A379" i="1"/>
  <c r="J378" i="1"/>
  <c r="K378" i="1" s="1"/>
  <c r="F378" i="1"/>
  <c r="A380" i="1" l="1"/>
  <c r="J379" i="1"/>
  <c r="F379" i="1"/>
  <c r="K379" i="1" l="1"/>
  <c r="A381" i="1"/>
  <c r="J380" i="1"/>
  <c r="F380" i="1"/>
  <c r="K380" i="1" l="1"/>
  <c r="A382" i="1"/>
  <c r="J381" i="1"/>
  <c r="F381" i="1"/>
  <c r="K381" i="1" l="1"/>
  <c r="A383" i="1"/>
  <c r="J382" i="1"/>
  <c r="F382" i="1"/>
  <c r="K382" i="1" l="1"/>
  <c r="A384" i="1"/>
  <c r="J383" i="1"/>
  <c r="F383" i="1"/>
  <c r="K383" i="1" l="1"/>
  <c r="A385" i="1"/>
  <c r="J384" i="1"/>
  <c r="F384" i="1"/>
  <c r="K384" i="1" l="1"/>
  <c r="A386" i="1"/>
  <c r="J385" i="1"/>
  <c r="F385" i="1"/>
  <c r="K385" i="1" l="1"/>
  <c r="A387" i="1"/>
  <c r="J386" i="1"/>
  <c r="F386" i="1"/>
  <c r="K386" i="1" l="1"/>
  <c r="A388" i="1"/>
  <c r="J387" i="1"/>
  <c r="F387" i="1"/>
  <c r="K387" i="1" l="1"/>
  <c r="A389" i="1"/>
  <c r="J388" i="1"/>
  <c r="K388" i="1" s="1"/>
  <c r="F388" i="1"/>
  <c r="A390" i="1" l="1"/>
  <c r="J389" i="1"/>
  <c r="F389" i="1"/>
  <c r="K389" i="1" l="1"/>
  <c r="A391" i="1"/>
  <c r="J390" i="1"/>
  <c r="F390" i="1"/>
  <c r="K390" i="1" l="1"/>
  <c r="A392" i="1"/>
  <c r="J391" i="1"/>
  <c r="K391" i="1" s="1"/>
  <c r="F391" i="1"/>
  <c r="A393" i="1" l="1"/>
  <c r="J392" i="1"/>
  <c r="F392" i="1"/>
  <c r="K392" i="1" l="1"/>
  <c r="A394" i="1"/>
  <c r="J393" i="1"/>
  <c r="K393" i="1" s="1"/>
  <c r="F393" i="1"/>
  <c r="A395" i="1" l="1"/>
  <c r="J394" i="1"/>
  <c r="F394" i="1"/>
  <c r="K394" i="1" l="1"/>
  <c r="A396" i="1"/>
  <c r="J395" i="1"/>
  <c r="F395" i="1"/>
  <c r="K395" i="1" l="1"/>
  <c r="A397" i="1"/>
  <c r="J396" i="1"/>
  <c r="K396" i="1" s="1"/>
  <c r="F396" i="1"/>
  <c r="A398" i="1" l="1"/>
  <c r="J397" i="1"/>
  <c r="F397" i="1"/>
  <c r="K397" i="1" l="1"/>
  <c r="A399" i="1"/>
  <c r="J398" i="1"/>
  <c r="K398" i="1" s="1"/>
  <c r="F398" i="1"/>
  <c r="A400" i="1" l="1"/>
  <c r="J399" i="1"/>
  <c r="F399" i="1"/>
  <c r="K399" i="1" l="1"/>
  <c r="A401" i="1"/>
  <c r="J400" i="1"/>
  <c r="F400" i="1"/>
  <c r="K400" i="1" l="1"/>
  <c r="A402" i="1"/>
  <c r="J401" i="1"/>
  <c r="F401" i="1"/>
  <c r="K401" i="1" l="1"/>
  <c r="A403" i="1"/>
  <c r="J402" i="1"/>
  <c r="F402" i="1"/>
  <c r="K402" i="1" l="1"/>
  <c r="A404" i="1"/>
  <c r="J403" i="1"/>
  <c r="F403" i="1"/>
  <c r="K403" i="1" l="1"/>
  <c r="A405" i="1"/>
  <c r="J404" i="1"/>
  <c r="K404" i="1" s="1"/>
  <c r="F404" i="1"/>
  <c r="A406" i="1" l="1"/>
  <c r="J405" i="1"/>
  <c r="F405" i="1"/>
  <c r="K405" i="1" l="1"/>
  <c r="A407" i="1"/>
  <c r="J406" i="1"/>
  <c r="F406" i="1"/>
  <c r="K406" i="1" l="1"/>
  <c r="A408" i="1"/>
  <c r="J407" i="1"/>
  <c r="F407" i="1"/>
  <c r="K407" i="1" l="1"/>
  <c r="A409" i="1"/>
  <c r="J408" i="1"/>
  <c r="K408" i="1" s="1"/>
  <c r="F408" i="1"/>
  <c r="A410" i="1" l="1"/>
  <c r="J409" i="1"/>
  <c r="F409" i="1"/>
  <c r="K409" i="1" l="1"/>
  <c r="A411" i="1"/>
  <c r="J410" i="1"/>
  <c r="F410" i="1"/>
  <c r="K410" i="1" l="1"/>
  <c r="A412" i="1"/>
  <c r="J411" i="1"/>
  <c r="F411" i="1"/>
  <c r="K411" i="1" l="1"/>
  <c r="A413" i="1"/>
  <c r="J412" i="1"/>
  <c r="F412" i="1"/>
  <c r="K412" i="1" l="1"/>
  <c r="A414" i="1"/>
  <c r="J413" i="1"/>
  <c r="F413" i="1"/>
  <c r="K413" i="1" l="1"/>
  <c r="A415" i="1"/>
  <c r="J414" i="1"/>
  <c r="F414" i="1"/>
  <c r="K414" i="1" l="1"/>
  <c r="A416" i="1"/>
  <c r="J415" i="1"/>
  <c r="F415" i="1"/>
  <c r="K415" i="1" l="1"/>
  <c r="A417" i="1"/>
  <c r="J416" i="1"/>
  <c r="F416" i="1"/>
  <c r="K416" i="1" l="1"/>
  <c r="A418" i="1"/>
  <c r="J417" i="1"/>
  <c r="K417" i="1" s="1"/>
  <c r="F417" i="1"/>
  <c r="A419" i="1" l="1"/>
  <c r="J418" i="1"/>
  <c r="F418" i="1"/>
  <c r="K418" i="1" l="1"/>
  <c r="A420" i="1"/>
  <c r="J419" i="1"/>
  <c r="K419" i="1" s="1"/>
  <c r="F419" i="1"/>
  <c r="A421" i="1" l="1"/>
  <c r="J420" i="1"/>
  <c r="F420" i="1"/>
  <c r="K420" i="1" l="1"/>
  <c r="A422" i="1"/>
  <c r="J421" i="1"/>
  <c r="F421" i="1"/>
  <c r="K421" i="1" l="1"/>
  <c r="A423" i="1"/>
  <c r="J422" i="1"/>
  <c r="F422" i="1"/>
  <c r="A424" i="1" l="1"/>
  <c r="J423" i="1"/>
  <c r="F423" i="1"/>
  <c r="K422" i="1"/>
  <c r="K423" i="1" l="1"/>
  <c r="A425" i="1"/>
  <c r="J424" i="1"/>
  <c r="F424" i="1"/>
  <c r="K424" i="1" l="1"/>
  <c r="A426" i="1"/>
  <c r="J425" i="1"/>
  <c r="F425" i="1"/>
  <c r="K425" i="1" l="1"/>
  <c r="A427" i="1"/>
  <c r="J426" i="1"/>
  <c r="K426" i="1" s="1"/>
  <c r="F426" i="1"/>
  <c r="A428" i="1" l="1"/>
  <c r="J427" i="1"/>
  <c r="F427" i="1"/>
  <c r="K427" i="1" l="1"/>
  <c r="A429" i="1"/>
  <c r="J428" i="1"/>
  <c r="K428" i="1" s="1"/>
  <c r="F428" i="1"/>
  <c r="A430" i="1" l="1"/>
  <c r="J429" i="1"/>
  <c r="F429" i="1"/>
  <c r="K429" i="1" l="1"/>
  <c r="A431" i="1"/>
  <c r="J430" i="1"/>
  <c r="F430" i="1"/>
  <c r="K430" i="1" l="1"/>
  <c r="A432" i="1"/>
  <c r="J431" i="1"/>
  <c r="F431" i="1"/>
  <c r="K431" i="1" l="1"/>
  <c r="A433" i="1"/>
  <c r="J432" i="1"/>
  <c r="F432" i="1"/>
  <c r="K432" i="1" l="1"/>
  <c r="A434" i="1"/>
  <c r="J433" i="1"/>
  <c r="F433" i="1"/>
  <c r="K433" i="1" l="1"/>
  <c r="A435" i="1"/>
  <c r="J434" i="1"/>
  <c r="K434" i="1" s="1"/>
  <c r="F434" i="1"/>
  <c r="A436" i="1" l="1"/>
  <c r="J435" i="1"/>
  <c r="F435" i="1"/>
  <c r="K435" i="1" l="1"/>
  <c r="A437" i="1"/>
  <c r="J436" i="1"/>
  <c r="F436" i="1"/>
  <c r="K436" i="1" l="1"/>
  <c r="A438" i="1"/>
  <c r="J437" i="1"/>
  <c r="F437" i="1"/>
  <c r="K437" i="1" l="1"/>
  <c r="A439" i="1"/>
  <c r="J438" i="1"/>
  <c r="F438" i="1"/>
  <c r="K438" i="1" l="1"/>
  <c r="A440" i="1"/>
  <c r="J439" i="1"/>
  <c r="F439" i="1"/>
  <c r="K439" i="1" l="1"/>
  <c r="A441" i="1"/>
  <c r="J440" i="1"/>
  <c r="F440" i="1"/>
  <c r="K440" i="1" l="1"/>
  <c r="A442" i="1"/>
  <c r="J441" i="1"/>
  <c r="K441" i="1" s="1"/>
  <c r="F441" i="1"/>
  <c r="A443" i="1" l="1"/>
  <c r="J442" i="1"/>
  <c r="F442" i="1"/>
  <c r="K442" i="1" l="1"/>
  <c r="A444" i="1"/>
  <c r="J443" i="1"/>
  <c r="F443" i="1"/>
  <c r="K443" i="1" l="1"/>
  <c r="A445" i="1"/>
  <c r="J444" i="1"/>
  <c r="F444" i="1"/>
  <c r="K444" i="1" l="1"/>
  <c r="A446" i="1"/>
  <c r="J445" i="1"/>
  <c r="F445" i="1"/>
  <c r="K445" i="1" l="1"/>
  <c r="A447" i="1"/>
  <c r="J446" i="1"/>
  <c r="F446" i="1"/>
  <c r="K446" i="1" l="1"/>
  <c r="A448" i="1"/>
  <c r="J447" i="1"/>
  <c r="F447" i="1"/>
  <c r="K447" i="1" l="1"/>
  <c r="A449" i="1"/>
  <c r="J448" i="1"/>
  <c r="K448" i="1" s="1"/>
  <c r="F448" i="1"/>
  <c r="A450" i="1" l="1"/>
  <c r="J449" i="1"/>
  <c r="F449" i="1"/>
  <c r="K449" i="1" l="1"/>
  <c r="A451" i="1"/>
  <c r="J450" i="1"/>
  <c r="K450" i="1" s="1"/>
  <c r="F450" i="1"/>
  <c r="A452" i="1" l="1"/>
  <c r="J451" i="1"/>
  <c r="F451" i="1"/>
  <c r="K451" i="1" l="1"/>
  <c r="A453" i="1"/>
  <c r="J452" i="1"/>
  <c r="F452" i="1"/>
  <c r="K452" i="1" l="1"/>
  <c r="A454" i="1"/>
  <c r="J453" i="1"/>
  <c r="F453" i="1"/>
  <c r="K453" i="1" l="1"/>
  <c r="A455" i="1"/>
  <c r="J454" i="1"/>
  <c r="K454" i="1" s="1"/>
  <c r="F454" i="1"/>
  <c r="A456" i="1" l="1"/>
  <c r="J455" i="1"/>
  <c r="F455" i="1"/>
  <c r="K455" i="1" l="1"/>
  <c r="A457" i="1"/>
  <c r="J456" i="1"/>
  <c r="F456" i="1"/>
  <c r="K456" i="1" l="1"/>
  <c r="A458" i="1"/>
  <c r="J457" i="1"/>
  <c r="F457" i="1"/>
  <c r="K457" i="1" l="1"/>
  <c r="A459" i="1"/>
  <c r="J458" i="1"/>
  <c r="F458" i="1"/>
  <c r="K458" i="1" l="1"/>
  <c r="A460" i="1"/>
  <c r="J459" i="1"/>
  <c r="K459" i="1" s="1"/>
  <c r="F459" i="1"/>
  <c r="A461" i="1" l="1"/>
  <c r="J460" i="1"/>
  <c r="F460" i="1"/>
  <c r="K460" i="1" l="1"/>
  <c r="A462" i="1"/>
  <c r="J461" i="1"/>
  <c r="K461" i="1" s="1"/>
  <c r="F461" i="1"/>
  <c r="A463" i="1" l="1"/>
  <c r="J462" i="1"/>
  <c r="F462" i="1"/>
  <c r="K462" i="1" l="1"/>
  <c r="A464" i="1"/>
  <c r="J463" i="1"/>
  <c r="K463" i="1" s="1"/>
  <c r="F463" i="1"/>
  <c r="A465" i="1" l="1"/>
  <c r="J464" i="1"/>
  <c r="F464" i="1"/>
  <c r="K464" i="1" l="1"/>
  <c r="A466" i="1"/>
  <c r="J465" i="1"/>
  <c r="F465" i="1"/>
  <c r="A467" i="1" l="1"/>
  <c r="J466" i="1"/>
  <c r="F466" i="1"/>
  <c r="K465" i="1"/>
  <c r="K466" i="1" l="1"/>
  <c r="A468" i="1"/>
  <c r="J467" i="1"/>
  <c r="F467" i="1"/>
  <c r="K467" i="1" l="1"/>
  <c r="A469" i="1"/>
  <c r="J468" i="1"/>
  <c r="K468" i="1" s="1"/>
  <c r="F468" i="1"/>
  <c r="A470" i="1" l="1"/>
  <c r="J469" i="1"/>
  <c r="F469" i="1"/>
  <c r="K469" i="1" l="1"/>
  <c r="A471" i="1"/>
  <c r="J470" i="1"/>
  <c r="F470" i="1"/>
  <c r="K470" i="1" l="1"/>
  <c r="A472" i="1"/>
  <c r="J471" i="1"/>
  <c r="F471" i="1"/>
  <c r="K471" i="1" l="1"/>
  <c r="A473" i="1"/>
  <c r="J472" i="1"/>
  <c r="F472" i="1"/>
  <c r="K472" i="1" l="1"/>
  <c r="A474" i="1"/>
  <c r="J473" i="1"/>
  <c r="K473" i="1" s="1"/>
  <c r="F473" i="1"/>
  <c r="A475" i="1" l="1"/>
  <c r="J474" i="1"/>
  <c r="F474" i="1"/>
  <c r="K474" i="1" l="1"/>
  <c r="A476" i="1"/>
  <c r="J475" i="1"/>
  <c r="F475" i="1"/>
  <c r="A477" i="1" l="1"/>
  <c r="J476" i="1"/>
  <c r="F476" i="1"/>
  <c r="K475" i="1"/>
  <c r="K476" i="1" l="1"/>
  <c r="A478" i="1"/>
  <c r="J477" i="1"/>
  <c r="F477" i="1"/>
  <c r="A479" i="1" l="1"/>
  <c r="J478" i="1"/>
  <c r="F478" i="1"/>
  <c r="K477" i="1"/>
  <c r="K478" i="1" l="1"/>
  <c r="A480" i="1"/>
  <c r="J479" i="1"/>
  <c r="F479" i="1"/>
  <c r="K479" i="1" l="1"/>
  <c r="A481" i="1"/>
  <c r="J480" i="1"/>
  <c r="F480" i="1"/>
  <c r="K480" i="1" l="1"/>
  <c r="A482" i="1"/>
  <c r="J481" i="1"/>
  <c r="F481" i="1"/>
  <c r="K481" i="1" l="1"/>
  <c r="A483" i="1"/>
  <c r="J482" i="1"/>
  <c r="F482" i="1"/>
  <c r="K482" i="1" l="1"/>
  <c r="A484" i="1"/>
  <c r="J483" i="1"/>
  <c r="F483" i="1"/>
  <c r="K483" i="1" l="1"/>
  <c r="A485" i="1"/>
  <c r="J484" i="1"/>
  <c r="F484" i="1"/>
  <c r="K484" i="1" l="1"/>
  <c r="A486" i="1"/>
  <c r="J485" i="1"/>
  <c r="K485" i="1" s="1"/>
  <c r="F485" i="1"/>
  <c r="A487" i="1" l="1"/>
  <c r="J486" i="1"/>
  <c r="F486" i="1"/>
  <c r="K486" i="1" l="1"/>
  <c r="A488" i="1"/>
  <c r="J487" i="1"/>
  <c r="F487" i="1"/>
  <c r="K487" i="1" l="1"/>
  <c r="A489" i="1"/>
  <c r="J488" i="1"/>
  <c r="F488" i="1"/>
  <c r="K488" i="1" l="1"/>
  <c r="A490" i="1"/>
  <c r="J489" i="1"/>
  <c r="F489" i="1"/>
  <c r="K489" i="1" l="1"/>
  <c r="A491" i="1"/>
  <c r="J490" i="1"/>
  <c r="F490" i="1"/>
  <c r="K490" i="1" l="1"/>
  <c r="A492" i="1"/>
  <c r="J491" i="1"/>
  <c r="F491" i="1"/>
  <c r="K491" i="1" l="1"/>
  <c r="A493" i="1"/>
  <c r="J492" i="1"/>
  <c r="F492" i="1"/>
  <c r="K492" i="1" l="1"/>
  <c r="A494" i="1"/>
  <c r="J493" i="1"/>
  <c r="F493" i="1"/>
  <c r="K493" i="1" l="1"/>
  <c r="A495" i="1"/>
  <c r="J494" i="1"/>
  <c r="F494" i="1"/>
  <c r="K494" i="1" l="1"/>
  <c r="A496" i="1"/>
  <c r="J495" i="1"/>
  <c r="F495" i="1"/>
  <c r="K495" i="1" l="1"/>
  <c r="A497" i="1"/>
  <c r="J496" i="1"/>
  <c r="F496" i="1"/>
  <c r="K496" i="1" l="1"/>
  <c r="A498" i="1"/>
  <c r="J497" i="1"/>
  <c r="K497" i="1" s="1"/>
  <c r="F497" i="1"/>
  <c r="A499" i="1" l="1"/>
  <c r="J498" i="1"/>
  <c r="F498" i="1"/>
  <c r="K498" i="1" l="1"/>
  <c r="A500" i="1"/>
  <c r="J499" i="1"/>
  <c r="K499" i="1" s="1"/>
  <c r="F499" i="1"/>
  <c r="A501" i="1" l="1"/>
  <c r="J500" i="1"/>
  <c r="F500" i="1"/>
  <c r="K500" i="1" l="1"/>
  <c r="A502" i="1"/>
  <c r="J501" i="1"/>
  <c r="K501" i="1" s="1"/>
  <c r="F501" i="1"/>
  <c r="A503" i="1" l="1"/>
  <c r="J502" i="1"/>
  <c r="F502" i="1"/>
  <c r="K502" i="1" l="1"/>
  <c r="A504" i="1"/>
  <c r="J503" i="1"/>
  <c r="K503" i="1" s="1"/>
  <c r="F503" i="1"/>
  <c r="A505" i="1" l="1"/>
  <c r="J504" i="1"/>
  <c r="F504" i="1"/>
  <c r="K504" i="1" l="1"/>
  <c r="A506" i="1"/>
  <c r="J505" i="1"/>
  <c r="K505" i="1" s="1"/>
  <c r="F505" i="1"/>
  <c r="A507" i="1" l="1"/>
  <c r="J506" i="1"/>
  <c r="F506" i="1"/>
  <c r="K506" i="1" l="1"/>
  <c r="A508" i="1"/>
  <c r="J507" i="1"/>
  <c r="K507" i="1" s="1"/>
  <c r="F507" i="1"/>
  <c r="A509" i="1" l="1"/>
  <c r="J508" i="1"/>
  <c r="F508" i="1"/>
  <c r="K508" i="1" l="1"/>
  <c r="A510" i="1"/>
  <c r="J509" i="1"/>
  <c r="K509" i="1" s="1"/>
  <c r="F509" i="1"/>
  <c r="A511" i="1" l="1"/>
  <c r="J510" i="1"/>
  <c r="F510" i="1"/>
  <c r="K510" i="1" l="1"/>
  <c r="A512" i="1"/>
  <c r="J511" i="1"/>
  <c r="K511" i="1" s="1"/>
  <c r="F511" i="1"/>
  <c r="A513" i="1" l="1"/>
  <c r="J512" i="1"/>
  <c r="F512" i="1"/>
  <c r="K512" i="1" l="1"/>
  <c r="A514" i="1"/>
  <c r="J513" i="1"/>
  <c r="K513" i="1" s="1"/>
  <c r="F513" i="1"/>
  <c r="A515" i="1" l="1"/>
  <c r="J514" i="1"/>
  <c r="F514" i="1"/>
  <c r="K514" i="1" l="1"/>
  <c r="A516" i="1"/>
  <c r="J515" i="1"/>
  <c r="K515" i="1" s="1"/>
  <c r="F515" i="1"/>
  <c r="A517" i="1" l="1"/>
  <c r="J516" i="1"/>
  <c r="F516" i="1"/>
  <c r="K516" i="1" l="1"/>
  <c r="A518" i="1"/>
  <c r="J517" i="1"/>
  <c r="K517" i="1" s="1"/>
  <c r="F517" i="1"/>
  <c r="A519" i="1" l="1"/>
  <c r="J518" i="1"/>
  <c r="F518" i="1"/>
  <c r="K518" i="1" l="1"/>
  <c r="A520" i="1"/>
  <c r="J519" i="1"/>
  <c r="F519" i="1"/>
  <c r="A521" i="1" l="1"/>
  <c r="J520" i="1"/>
  <c r="F520" i="1"/>
  <c r="K519" i="1"/>
  <c r="K520" i="1" l="1"/>
  <c r="A522" i="1"/>
  <c r="J521" i="1"/>
  <c r="F521" i="1"/>
  <c r="K521" i="1" l="1"/>
  <c r="A523" i="1"/>
  <c r="J522" i="1"/>
  <c r="F522" i="1"/>
  <c r="K522" i="1" l="1"/>
  <c r="A524" i="1"/>
  <c r="J523" i="1"/>
  <c r="F523" i="1"/>
  <c r="K523" i="1" l="1"/>
  <c r="A525" i="1"/>
  <c r="J524" i="1"/>
  <c r="F524" i="1"/>
  <c r="K524" i="1" l="1"/>
  <c r="A526" i="1"/>
  <c r="J525" i="1"/>
  <c r="F525" i="1"/>
  <c r="K525" i="1" l="1"/>
  <c r="A527" i="1"/>
  <c r="J526" i="1"/>
  <c r="F526" i="1"/>
  <c r="K526" i="1" l="1"/>
  <c r="A528" i="1"/>
  <c r="J527" i="1"/>
  <c r="F527" i="1"/>
  <c r="K527" i="1" l="1"/>
  <c r="A529" i="1"/>
  <c r="J528" i="1"/>
  <c r="F528" i="1"/>
  <c r="K528" i="1" l="1"/>
  <c r="A530" i="1"/>
  <c r="J529" i="1"/>
  <c r="F529" i="1"/>
  <c r="K529" i="1" l="1"/>
  <c r="A531" i="1"/>
  <c r="J530" i="1"/>
  <c r="F530" i="1"/>
  <c r="K530" i="1" l="1"/>
  <c r="A532" i="1"/>
  <c r="J531" i="1"/>
  <c r="F531" i="1"/>
  <c r="K531" i="1" l="1"/>
  <c r="A533" i="1"/>
  <c r="J532" i="1"/>
  <c r="F532" i="1"/>
  <c r="K532" i="1" l="1"/>
  <c r="A534" i="1"/>
  <c r="J533" i="1"/>
  <c r="K533" i="1" s="1"/>
  <c r="F533" i="1"/>
  <c r="A535" i="1" l="1"/>
  <c r="J534" i="1"/>
  <c r="F534" i="1"/>
  <c r="K534" i="1" l="1"/>
  <c r="A536" i="1"/>
  <c r="J535" i="1"/>
  <c r="F535" i="1"/>
  <c r="K535" i="1" l="1"/>
  <c r="A537" i="1"/>
  <c r="J536" i="1"/>
  <c r="F536" i="1"/>
  <c r="K536" i="1" l="1"/>
  <c r="A538" i="1"/>
  <c r="J537" i="1"/>
  <c r="K537" i="1" s="1"/>
  <c r="F537" i="1"/>
  <c r="A539" i="1" l="1"/>
  <c r="J538" i="1"/>
  <c r="F538" i="1"/>
  <c r="K538" i="1" l="1"/>
  <c r="A540" i="1"/>
  <c r="J539" i="1"/>
  <c r="K539" i="1" s="1"/>
  <c r="F539" i="1"/>
  <c r="A541" i="1" l="1"/>
  <c r="J540" i="1"/>
  <c r="F540" i="1"/>
  <c r="K540" i="1" l="1"/>
  <c r="A542" i="1"/>
  <c r="J541" i="1"/>
  <c r="K541" i="1" s="1"/>
  <c r="F541" i="1"/>
  <c r="A543" i="1" l="1"/>
  <c r="J542" i="1"/>
  <c r="F542" i="1"/>
  <c r="K542" i="1" l="1"/>
  <c r="A544" i="1"/>
  <c r="J543" i="1"/>
  <c r="F543" i="1"/>
  <c r="K543" i="1" l="1"/>
  <c r="A545" i="1"/>
  <c r="J544" i="1"/>
  <c r="F544" i="1"/>
  <c r="K544" i="1" l="1"/>
  <c r="A546" i="1"/>
  <c r="J545" i="1"/>
  <c r="F545" i="1"/>
  <c r="K545" i="1" l="1"/>
  <c r="A547" i="1"/>
  <c r="J546" i="1"/>
  <c r="F546" i="1"/>
  <c r="K546" i="1" l="1"/>
  <c r="A548" i="1"/>
  <c r="J547" i="1"/>
  <c r="F547" i="1"/>
  <c r="K547" i="1" l="1"/>
  <c r="A549" i="1"/>
  <c r="J548" i="1"/>
  <c r="K548" i="1" s="1"/>
  <c r="F548" i="1"/>
  <c r="A550" i="1" l="1"/>
  <c r="J549" i="1"/>
  <c r="F549" i="1"/>
  <c r="K549" i="1" l="1"/>
  <c r="A551" i="1"/>
  <c r="J550" i="1"/>
  <c r="K550" i="1" s="1"/>
  <c r="F550" i="1"/>
  <c r="A552" i="1" l="1"/>
  <c r="J551" i="1"/>
  <c r="F551" i="1"/>
  <c r="K551" i="1" l="1"/>
  <c r="A553" i="1"/>
  <c r="J552" i="1"/>
  <c r="K552" i="1" s="1"/>
  <c r="F552" i="1"/>
  <c r="A554" i="1" l="1"/>
  <c r="J553" i="1"/>
  <c r="F553" i="1"/>
  <c r="K553" i="1" l="1"/>
  <c r="A555" i="1"/>
  <c r="J554" i="1"/>
  <c r="F554" i="1"/>
  <c r="K554" i="1" l="1"/>
  <c r="A556" i="1"/>
  <c r="J555" i="1"/>
  <c r="F555" i="1"/>
  <c r="A557" i="1" l="1"/>
  <c r="J556" i="1"/>
  <c r="F556" i="1"/>
  <c r="K555" i="1"/>
  <c r="K556" i="1" l="1"/>
  <c r="A558" i="1"/>
  <c r="J557" i="1"/>
  <c r="K557" i="1" s="1"/>
  <c r="F557" i="1"/>
  <c r="A559" i="1" l="1"/>
  <c r="J558" i="1"/>
  <c r="F558" i="1"/>
  <c r="K558" i="1" l="1"/>
  <c r="A560" i="1"/>
  <c r="J559" i="1"/>
  <c r="F559" i="1"/>
  <c r="K559" i="1" l="1"/>
  <c r="A561" i="1"/>
  <c r="J560" i="1"/>
  <c r="F560" i="1"/>
  <c r="K560" i="1" l="1"/>
  <c r="A562" i="1"/>
  <c r="J561" i="1"/>
  <c r="F561" i="1"/>
  <c r="K561" i="1" l="1"/>
  <c r="A563" i="1"/>
  <c r="J562" i="1"/>
  <c r="F562" i="1"/>
  <c r="K562" i="1" l="1"/>
  <c r="A564" i="1"/>
  <c r="J563" i="1"/>
  <c r="F563" i="1"/>
  <c r="K563" i="1" l="1"/>
  <c r="A565" i="1"/>
  <c r="J564" i="1"/>
  <c r="K564" i="1" s="1"/>
  <c r="F564" i="1"/>
  <c r="A566" i="1" l="1"/>
  <c r="J565" i="1"/>
  <c r="F565" i="1"/>
  <c r="A567" i="1" l="1"/>
  <c r="J566" i="1"/>
  <c r="F566" i="1"/>
  <c r="K565" i="1"/>
  <c r="A568" i="1" l="1"/>
  <c r="J567" i="1"/>
  <c r="F567" i="1"/>
  <c r="K566" i="1"/>
  <c r="K567" i="1" l="1"/>
  <c r="A569" i="1"/>
  <c r="J568" i="1"/>
  <c r="K568" i="1" s="1"/>
  <c r="F568" i="1"/>
  <c r="A570" i="1" l="1"/>
  <c r="J569" i="1"/>
  <c r="F569" i="1"/>
  <c r="K569" i="1" l="1"/>
  <c r="A571" i="1"/>
  <c r="J570" i="1"/>
  <c r="F570" i="1"/>
  <c r="K570" i="1" l="1"/>
  <c r="A572" i="1"/>
  <c r="J571" i="1"/>
  <c r="F571" i="1"/>
  <c r="K571" i="1" l="1"/>
  <c r="A573" i="1"/>
  <c r="J572" i="1"/>
  <c r="F572" i="1"/>
  <c r="K572" i="1" l="1"/>
  <c r="A574" i="1"/>
  <c r="J573" i="1"/>
  <c r="F573" i="1"/>
  <c r="K573" i="1" l="1"/>
  <c r="A575" i="1"/>
  <c r="J574" i="1"/>
  <c r="K574" i="1" s="1"/>
  <c r="F574" i="1"/>
  <c r="A576" i="1" l="1"/>
  <c r="J575" i="1"/>
  <c r="F575" i="1"/>
  <c r="K575" i="1" l="1"/>
  <c r="A577" i="1"/>
  <c r="J576" i="1"/>
  <c r="F576" i="1"/>
  <c r="K576" i="1" l="1"/>
  <c r="A578" i="1"/>
  <c r="J577" i="1"/>
  <c r="K577" i="1" s="1"/>
  <c r="F577" i="1"/>
  <c r="A579" i="1" l="1"/>
  <c r="J578" i="1"/>
  <c r="K578" i="1" s="1"/>
  <c r="F578" i="1"/>
  <c r="A580" i="1" l="1"/>
  <c r="J579" i="1"/>
  <c r="K579" i="1" s="1"/>
  <c r="F579" i="1"/>
  <c r="A581" i="1" l="1"/>
  <c r="J580" i="1"/>
  <c r="F580" i="1"/>
  <c r="A582" i="1" l="1"/>
  <c r="J581" i="1"/>
  <c r="F581" i="1"/>
  <c r="K580" i="1"/>
  <c r="K581" i="1" l="1"/>
  <c r="A583" i="1"/>
  <c r="J582" i="1"/>
  <c r="F582" i="1"/>
  <c r="A584" i="1" l="1"/>
  <c r="J583" i="1"/>
  <c r="F583" i="1"/>
  <c r="K582" i="1"/>
  <c r="K583" i="1" l="1"/>
  <c r="A585" i="1"/>
  <c r="J584" i="1"/>
  <c r="F584" i="1"/>
  <c r="K584" i="1" l="1"/>
  <c r="A586" i="1"/>
  <c r="J585" i="1"/>
  <c r="F585" i="1"/>
  <c r="K585" i="1" l="1"/>
  <c r="A587" i="1"/>
  <c r="J586" i="1"/>
  <c r="F586" i="1"/>
  <c r="A588" i="1" l="1"/>
  <c r="J587" i="1"/>
  <c r="K587" i="1" s="1"/>
  <c r="F587" i="1"/>
  <c r="K586" i="1"/>
  <c r="A589" i="1" l="1"/>
  <c r="J588" i="1"/>
  <c r="F588" i="1"/>
  <c r="A590" i="1" l="1"/>
  <c r="J589" i="1"/>
  <c r="F589" i="1"/>
  <c r="K588" i="1"/>
  <c r="K589" i="1" l="1"/>
  <c r="A591" i="1"/>
  <c r="J590" i="1"/>
  <c r="K590" i="1" s="1"/>
  <c r="F590" i="1"/>
  <c r="A592" i="1" l="1"/>
  <c r="J591" i="1"/>
  <c r="F591" i="1"/>
  <c r="A593" i="1" l="1"/>
  <c r="J592" i="1"/>
  <c r="K592" i="1" s="1"/>
  <c r="F592" i="1"/>
  <c r="K591" i="1"/>
  <c r="A594" i="1" l="1"/>
  <c r="J593" i="1"/>
  <c r="F593" i="1"/>
  <c r="A595" i="1" l="1"/>
  <c r="J594" i="1"/>
  <c r="K594" i="1" s="1"/>
  <c r="F594" i="1"/>
  <c r="K593" i="1"/>
  <c r="A596" i="1" l="1"/>
  <c r="J595" i="1"/>
  <c r="F595" i="1"/>
  <c r="K595" i="1" l="1"/>
  <c r="A597" i="1"/>
  <c r="J596" i="1"/>
  <c r="K596" i="1" s="1"/>
  <c r="F596" i="1"/>
  <c r="A598" i="1" l="1"/>
  <c r="J597" i="1"/>
  <c r="F597" i="1"/>
  <c r="K597" i="1" l="1"/>
  <c r="A599" i="1"/>
  <c r="J598" i="1"/>
  <c r="K598" i="1" s="1"/>
  <c r="F598" i="1"/>
  <c r="A600" i="1" l="1"/>
  <c r="J599" i="1"/>
  <c r="F599" i="1"/>
  <c r="K599" i="1" l="1"/>
  <c r="A601" i="1"/>
  <c r="J600" i="1"/>
  <c r="F600" i="1"/>
  <c r="K600" i="1" l="1"/>
  <c r="A602" i="1"/>
  <c r="J601" i="1"/>
  <c r="F601" i="1"/>
  <c r="K601" i="1" l="1"/>
  <c r="A603" i="1"/>
  <c r="J602" i="1"/>
  <c r="K602" i="1" s="1"/>
  <c r="F602" i="1"/>
  <c r="A604" i="1" l="1"/>
  <c r="J603" i="1"/>
  <c r="F603" i="1"/>
  <c r="K603" i="1" l="1"/>
  <c r="A605" i="1"/>
  <c r="J604" i="1"/>
  <c r="F604" i="1"/>
  <c r="K604" i="1" l="1"/>
  <c r="A606" i="1"/>
  <c r="J605" i="1"/>
  <c r="K605" i="1" s="1"/>
  <c r="F605" i="1"/>
  <c r="A607" i="1" l="1"/>
  <c r="J606" i="1"/>
  <c r="F606" i="1"/>
  <c r="K606" i="1" l="1"/>
  <c r="A608" i="1"/>
  <c r="J607" i="1"/>
  <c r="F607" i="1"/>
  <c r="K607" i="1" l="1"/>
  <c r="A609" i="1"/>
  <c r="J608" i="1"/>
  <c r="F608" i="1"/>
  <c r="K608" i="1" l="1"/>
  <c r="A610" i="1"/>
  <c r="J609" i="1"/>
  <c r="K609" i="1" s="1"/>
  <c r="F609" i="1"/>
  <c r="A611" i="1" l="1"/>
  <c r="J610" i="1"/>
  <c r="F610" i="1"/>
  <c r="K610" i="1" l="1"/>
  <c r="A612" i="1"/>
  <c r="J611" i="1"/>
  <c r="F611" i="1"/>
  <c r="K611" i="1" l="1"/>
  <c r="A613" i="1"/>
  <c r="J612" i="1"/>
  <c r="F612" i="1"/>
  <c r="K612" i="1" l="1"/>
  <c r="A614" i="1"/>
  <c r="J613" i="1"/>
  <c r="F613" i="1"/>
  <c r="K613" i="1" l="1"/>
  <c r="A615" i="1"/>
  <c r="J614" i="1"/>
  <c r="F614" i="1"/>
  <c r="K614" i="1" l="1"/>
  <c r="A616" i="1"/>
  <c r="J615" i="1"/>
  <c r="F615" i="1"/>
  <c r="K615" i="1" l="1"/>
  <c r="A617" i="1"/>
  <c r="J616" i="1"/>
  <c r="F616" i="1"/>
  <c r="K616" i="1" l="1"/>
  <c r="A618" i="1"/>
  <c r="J617" i="1"/>
  <c r="F617" i="1"/>
  <c r="K617" i="1" l="1"/>
  <c r="A619" i="1"/>
  <c r="J618" i="1"/>
  <c r="F618" i="1"/>
  <c r="K618" i="1" l="1"/>
  <c r="A620" i="1"/>
  <c r="J619" i="1"/>
  <c r="K619" i="1" s="1"/>
  <c r="F619" i="1"/>
  <c r="A621" i="1" l="1"/>
  <c r="J620" i="1"/>
  <c r="F620" i="1"/>
  <c r="K620" i="1" l="1"/>
  <c r="A622" i="1"/>
  <c r="J621" i="1"/>
  <c r="K621" i="1" s="1"/>
  <c r="F621" i="1"/>
  <c r="A623" i="1" l="1"/>
  <c r="J622" i="1"/>
  <c r="F622" i="1"/>
  <c r="K622" i="1" l="1"/>
  <c r="A624" i="1"/>
  <c r="J623" i="1"/>
  <c r="F623" i="1"/>
  <c r="K623" i="1" l="1"/>
  <c r="A625" i="1"/>
  <c r="J624" i="1"/>
  <c r="F624" i="1"/>
  <c r="K624" i="1" l="1"/>
  <c r="A626" i="1"/>
  <c r="J625" i="1"/>
  <c r="F625" i="1"/>
  <c r="K625" i="1" l="1"/>
  <c r="A627" i="1"/>
  <c r="J626" i="1"/>
  <c r="F626" i="1"/>
  <c r="K626" i="1" l="1"/>
  <c r="A628" i="1"/>
  <c r="J627" i="1"/>
  <c r="F627" i="1"/>
  <c r="K627" i="1" l="1"/>
  <c r="A629" i="1"/>
  <c r="J628" i="1"/>
  <c r="F628" i="1"/>
  <c r="K628" i="1" l="1"/>
  <c r="A630" i="1"/>
  <c r="J629" i="1"/>
  <c r="K629" i="1" s="1"/>
  <c r="F629" i="1"/>
  <c r="A631" i="1" l="1"/>
  <c r="J630" i="1"/>
  <c r="F630" i="1"/>
  <c r="K630" i="1" l="1"/>
  <c r="A632" i="1"/>
  <c r="J631" i="1"/>
  <c r="F631" i="1"/>
  <c r="K631" i="1" l="1"/>
  <c r="A633" i="1"/>
  <c r="J632" i="1"/>
  <c r="F632" i="1"/>
  <c r="K632" i="1" l="1"/>
  <c r="A634" i="1"/>
  <c r="J633" i="1"/>
  <c r="F633" i="1"/>
  <c r="K633" i="1" l="1"/>
  <c r="A635" i="1"/>
  <c r="J634" i="1"/>
  <c r="F634" i="1"/>
  <c r="K634" i="1" l="1"/>
  <c r="A636" i="1"/>
  <c r="J635" i="1"/>
  <c r="K635" i="1" s="1"/>
  <c r="F635" i="1"/>
  <c r="A637" i="1" l="1"/>
  <c r="J636" i="1"/>
  <c r="F636" i="1"/>
  <c r="K636" i="1" l="1"/>
  <c r="A638" i="1"/>
  <c r="J637" i="1"/>
  <c r="K637" i="1" s="1"/>
  <c r="F637" i="1"/>
  <c r="A639" i="1" l="1"/>
  <c r="J638" i="1"/>
  <c r="F638" i="1"/>
  <c r="K638" i="1" l="1"/>
  <c r="A640" i="1"/>
  <c r="J639" i="1"/>
  <c r="K639" i="1" s="1"/>
  <c r="F639" i="1"/>
  <c r="A641" i="1" l="1"/>
  <c r="J640" i="1"/>
  <c r="F640" i="1"/>
  <c r="K640" i="1" l="1"/>
  <c r="A642" i="1"/>
  <c r="J641" i="1"/>
  <c r="K641" i="1" s="1"/>
  <c r="F641" i="1"/>
  <c r="A643" i="1" l="1"/>
  <c r="J642" i="1"/>
  <c r="F642" i="1"/>
  <c r="K642" i="1" l="1"/>
  <c r="A644" i="1"/>
  <c r="J643" i="1"/>
  <c r="F643" i="1"/>
  <c r="K643" i="1" l="1"/>
  <c r="A645" i="1"/>
  <c r="J644" i="1"/>
  <c r="K644" i="1" s="1"/>
  <c r="F644" i="1"/>
  <c r="A646" i="1" l="1"/>
  <c r="J645" i="1"/>
  <c r="F645" i="1"/>
  <c r="K645" i="1" l="1"/>
  <c r="A647" i="1"/>
  <c r="J646" i="1"/>
  <c r="F646" i="1"/>
  <c r="A648" i="1" l="1"/>
  <c r="J647" i="1"/>
  <c r="F647" i="1"/>
  <c r="K646" i="1"/>
  <c r="K647" i="1" l="1"/>
  <c r="A649" i="1"/>
  <c r="J648" i="1"/>
  <c r="K648" i="1" s="1"/>
  <c r="F648" i="1"/>
  <c r="A650" i="1" l="1"/>
  <c r="J649" i="1"/>
  <c r="F649" i="1"/>
  <c r="K649" i="1" l="1"/>
  <c r="A651" i="1"/>
  <c r="J650" i="1"/>
  <c r="F650" i="1"/>
  <c r="K650" i="1" l="1"/>
  <c r="A652" i="1"/>
  <c r="J651" i="1"/>
  <c r="K651" i="1" s="1"/>
  <c r="F651" i="1"/>
  <c r="A653" i="1" l="1"/>
  <c r="J652" i="1"/>
  <c r="F652" i="1"/>
  <c r="K652" i="1" l="1"/>
  <c r="A654" i="1"/>
  <c r="J653" i="1"/>
  <c r="K653" i="1" s="1"/>
  <c r="F653" i="1"/>
  <c r="A655" i="1" l="1"/>
  <c r="J654" i="1"/>
  <c r="F654" i="1"/>
  <c r="K654" i="1" l="1"/>
  <c r="A656" i="1"/>
  <c r="J655" i="1"/>
  <c r="F655" i="1"/>
  <c r="K655" i="1" l="1"/>
  <c r="A657" i="1"/>
  <c r="J656" i="1"/>
  <c r="F656" i="1"/>
  <c r="K656" i="1" l="1"/>
  <c r="A658" i="1"/>
  <c r="J657" i="1"/>
  <c r="K657" i="1" s="1"/>
  <c r="F657" i="1"/>
  <c r="A659" i="1" l="1"/>
  <c r="J658" i="1"/>
  <c r="F658" i="1"/>
  <c r="K658" i="1" l="1"/>
  <c r="A660" i="1"/>
  <c r="J659" i="1"/>
  <c r="K659" i="1" s="1"/>
  <c r="F659" i="1"/>
  <c r="A661" i="1" l="1"/>
  <c r="J660" i="1"/>
  <c r="F660" i="1"/>
  <c r="K660" i="1" l="1"/>
  <c r="A662" i="1"/>
  <c r="J661" i="1"/>
  <c r="F661" i="1"/>
  <c r="K661" i="1" l="1"/>
  <c r="A663" i="1"/>
  <c r="J662" i="1"/>
  <c r="F662" i="1"/>
  <c r="A664" i="1" l="1"/>
  <c r="J663" i="1"/>
  <c r="F663" i="1"/>
  <c r="K662" i="1"/>
  <c r="K663" i="1" l="1"/>
  <c r="A665" i="1"/>
  <c r="J664" i="1"/>
  <c r="F664" i="1"/>
  <c r="K664" i="1" l="1"/>
  <c r="A666" i="1"/>
  <c r="J665" i="1"/>
  <c r="K665" i="1" s="1"/>
  <c r="F665" i="1"/>
  <c r="A667" i="1" l="1"/>
  <c r="J666" i="1"/>
  <c r="F666" i="1"/>
  <c r="K666" i="1" l="1"/>
  <c r="A668" i="1"/>
  <c r="J667" i="1"/>
  <c r="K667" i="1" s="1"/>
  <c r="F667" i="1"/>
  <c r="A669" i="1" l="1"/>
  <c r="J668" i="1"/>
  <c r="F668" i="1"/>
  <c r="K668" i="1" l="1"/>
  <c r="A670" i="1"/>
  <c r="J669" i="1"/>
  <c r="K669" i="1" s="1"/>
  <c r="F669" i="1"/>
  <c r="A671" i="1" l="1"/>
  <c r="J670" i="1"/>
  <c r="F670" i="1"/>
  <c r="K670" i="1" l="1"/>
  <c r="A672" i="1"/>
  <c r="J671" i="1"/>
  <c r="K671" i="1" s="1"/>
  <c r="F671" i="1"/>
  <c r="A673" i="1" l="1"/>
  <c r="J672" i="1"/>
  <c r="F672" i="1"/>
  <c r="K672" i="1" l="1"/>
  <c r="A674" i="1"/>
  <c r="J673" i="1"/>
  <c r="K673" i="1" s="1"/>
  <c r="F673" i="1"/>
  <c r="A675" i="1" l="1"/>
  <c r="J674" i="1"/>
  <c r="F674" i="1"/>
  <c r="K674" i="1" l="1"/>
  <c r="A676" i="1"/>
  <c r="J675" i="1"/>
  <c r="K675" i="1" s="1"/>
  <c r="F675" i="1"/>
  <c r="A677" i="1" l="1"/>
  <c r="J676" i="1"/>
  <c r="F676" i="1"/>
  <c r="K676" i="1" l="1"/>
  <c r="A678" i="1"/>
  <c r="J677" i="1"/>
  <c r="F677" i="1"/>
  <c r="K677" i="1" l="1"/>
  <c r="A679" i="1"/>
  <c r="J678" i="1"/>
  <c r="F678" i="1"/>
  <c r="K678" i="1" l="1"/>
  <c r="A680" i="1"/>
  <c r="J679" i="1"/>
  <c r="F679" i="1"/>
  <c r="K679" i="1" l="1"/>
  <c r="A681" i="1"/>
  <c r="J680" i="1"/>
  <c r="F680" i="1"/>
  <c r="K680" i="1" l="1"/>
  <c r="A682" i="1"/>
  <c r="J681" i="1"/>
  <c r="F681" i="1"/>
  <c r="K681" i="1" l="1"/>
  <c r="A683" i="1"/>
  <c r="J682" i="1"/>
  <c r="F682" i="1"/>
  <c r="K682" i="1" l="1"/>
  <c r="A684" i="1"/>
  <c r="J683" i="1"/>
  <c r="F683" i="1"/>
  <c r="K683" i="1" l="1"/>
  <c r="A685" i="1"/>
  <c r="J684" i="1"/>
  <c r="K684" i="1" s="1"/>
  <c r="F684" i="1"/>
  <c r="A686" i="1" l="1"/>
  <c r="J685" i="1"/>
  <c r="F685" i="1"/>
  <c r="K685" i="1" l="1"/>
  <c r="A687" i="1"/>
  <c r="J686" i="1"/>
  <c r="F686" i="1"/>
  <c r="K686" i="1" l="1"/>
  <c r="A688" i="1"/>
  <c r="J687" i="1"/>
  <c r="F687" i="1"/>
  <c r="K687" i="1" l="1"/>
  <c r="A689" i="1"/>
  <c r="J688" i="1"/>
  <c r="F688" i="1"/>
  <c r="K688" i="1" l="1"/>
  <c r="A690" i="1"/>
  <c r="J689" i="1"/>
  <c r="F689" i="1"/>
  <c r="K689" i="1" l="1"/>
  <c r="A691" i="1"/>
  <c r="J690" i="1"/>
  <c r="F690" i="1"/>
  <c r="K690" i="1" l="1"/>
  <c r="A692" i="1"/>
  <c r="J691" i="1"/>
  <c r="F691" i="1"/>
  <c r="K691" i="1" l="1"/>
  <c r="A693" i="1"/>
  <c r="J692" i="1"/>
  <c r="F692" i="1"/>
  <c r="K692" i="1" l="1"/>
  <c r="A694" i="1"/>
  <c r="J693" i="1"/>
  <c r="F693" i="1"/>
  <c r="A695" i="1" l="1"/>
  <c r="J694" i="1"/>
  <c r="K694" i="1" s="1"/>
  <c r="F694" i="1"/>
  <c r="K693" i="1"/>
  <c r="A696" i="1" l="1"/>
  <c r="J695" i="1"/>
  <c r="F695" i="1"/>
  <c r="K695" i="1" l="1"/>
  <c r="A697" i="1"/>
  <c r="J696" i="1"/>
  <c r="K696" i="1" s="1"/>
  <c r="F696" i="1"/>
  <c r="A698" i="1" l="1"/>
  <c r="J697" i="1"/>
  <c r="F697" i="1"/>
  <c r="K697" i="1" l="1"/>
  <c r="A699" i="1"/>
  <c r="J698" i="1"/>
  <c r="K698" i="1" s="1"/>
  <c r="F698" i="1"/>
  <c r="A700" i="1" l="1"/>
  <c r="J699" i="1"/>
  <c r="F699" i="1"/>
  <c r="K699" i="1" l="1"/>
  <c r="A701" i="1"/>
  <c r="J700" i="1"/>
  <c r="F700" i="1"/>
  <c r="K700" i="1" l="1"/>
  <c r="A702" i="1"/>
  <c r="J701" i="1"/>
  <c r="F701" i="1"/>
  <c r="K701" i="1" l="1"/>
  <c r="A703" i="1"/>
  <c r="J702" i="1"/>
  <c r="F702" i="1"/>
  <c r="K702" i="1" l="1"/>
  <c r="A704" i="1"/>
  <c r="J703" i="1"/>
  <c r="F703" i="1"/>
  <c r="K703" i="1" l="1"/>
  <c r="A705" i="1"/>
  <c r="J704" i="1"/>
  <c r="K704" i="1" s="1"/>
  <c r="F704" i="1"/>
  <c r="A706" i="1" l="1"/>
  <c r="J705" i="1"/>
  <c r="F705" i="1"/>
  <c r="K705" i="1" l="1"/>
  <c r="A707" i="1"/>
  <c r="J706" i="1"/>
  <c r="F706" i="1"/>
  <c r="K706" i="1" l="1"/>
  <c r="A708" i="1"/>
  <c r="J707" i="1"/>
  <c r="F707" i="1"/>
  <c r="K707" i="1" l="1"/>
  <c r="A709" i="1"/>
  <c r="J708" i="1"/>
  <c r="F708" i="1"/>
  <c r="K708" i="1" l="1"/>
  <c r="A710" i="1"/>
  <c r="J709" i="1"/>
  <c r="F709" i="1"/>
  <c r="K709" i="1" l="1"/>
  <c r="A711" i="1"/>
  <c r="J710" i="1"/>
  <c r="F710" i="1"/>
  <c r="K710" i="1" l="1"/>
  <c r="A712" i="1"/>
  <c r="J711" i="1"/>
  <c r="F711" i="1"/>
  <c r="K711" i="1" l="1"/>
  <c r="A713" i="1"/>
  <c r="J712" i="1"/>
  <c r="F712" i="1"/>
  <c r="K712" i="1" l="1"/>
  <c r="A714" i="1"/>
  <c r="J713" i="1"/>
  <c r="K713" i="1" s="1"/>
  <c r="F713" i="1"/>
  <c r="A715" i="1" l="1"/>
  <c r="J714" i="1"/>
  <c r="K714" i="1" s="1"/>
  <c r="F714" i="1"/>
  <c r="A716" i="1" l="1"/>
  <c r="J715" i="1"/>
  <c r="F715" i="1"/>
  <c r="K715" i="1" l="1"/>
  <c r="A717" i="1"/>
  <c r="J716" i="1"/>
  <c r="F716" i="1"/>
  <c r="K716" i="1" l="1"/>
  <c r="A718" i="1"/>
  <c r="J717" i="1"/>
  <c r="F717" i="1"/>
  <c r="K717" i="1" l="1"/>
  <c r="A719" i="1"/>
  <c r="J718" i="1"/>
  <c r="K718" i="1" s="1"/>
  <c r="F718" i="1"/>
  <c r="A720" i="1" l="1"/>
  <c r="J719" i="1"/>
  <c r="F719" i="1"/>
  <c r="K719" i="1" l="1"/>
  <c r="A721" i="1"/>
  <c r="J720" i="1"/>
  <c r="F720" i="1"/>
  <c r="K720" i="1" l="1"/>
  <c r="A722" i="1"/>
  <c r="J721" i="1"/>
  <c r="K721" i="1" s="1"/>
  <c r="F721" i="1"/>
  <c r="A723" i="1" l="1"/>
  <c r="J722" i="1"/>
  <c r="F722" i="1"/>
  <c r="K722" i="1" l="1"/>
  <c r="J723" i="1"/>
  <c r="F723" i="1"/>
  <c r="K723" i="1" l="1"/>
</calcChain>
</file>

<file path=xl/sharedStrings.xml><?xml version="1.0" encoding="utf-8"?>
<sst xmlns="http://schemas.openxmlformats.org/spreadsheetml/2006/main" count="45" uniqueCount="42">
  <si>
    <t>RPI curve closes 7th of March 2017</t>
  </si>
  <si>
    <t>RPI curve closes 7th of March 2017 + 1bp parallel shift</t>
  </si>
  <si>
    <t>YoY</t>
  </si>
  <si>
    <t>ZC</t>
  </si>
  <si>
    <t>BUMP</t>
  </si>
  <si>
    <t>MoM</t>
  </si>
  <si>
    <t>1y</t>
  </si>
  <si>
    <t>2y</t>
  </si>
  <si>
    <t>3y</t>
  </si>
  <si>
    <t>4y</t>
  </si>
  <si>
    <t>5y</t>
  </si>
  <si>
    <t>50y</t>
  </si>
  <si>
    <t>Tenor (yrs)</t>
  </si>
  <si>
    <t>Breakeven Rate</t>
  </si>
  <si>
    <t>Breakeven Rate - hard code</t>
  </si>
  <si>
    <t>BPSWIT1 CMPL Curncy</t>
  </si>
  <si>
    <t>BPSWIT2 CMPL Curncy</t>
  </si>
  <si>
    <t>BPSWIT3 CMPL Curncy</t>
  </si>
  <si>
    <t>BPSWIT4 CMPL Curncy</t>
  </si>
  <si>
    <t>BPSWIT5 CMPL Curncy</t>
  </si>
  <si>
    <t>BPSWIT6 CMPL Curncy</t>
  </si>
  <si>
    <t>BPSWIT7 CMPL Curncy</t>
  </si>
  <si>
    <t>BPSWIT8 CMPL Curncy</t>
  </si>
  <si>
    <t>BPSWIT9 CMPL Curncy</t>
  </si>
  <si>
    <t>BPSWIT10 CMPL Curncy</t>
  </si>
  <si>
    <t>BPSWIT12 CMPL Curncy</t>
  </si>
  <si>
    <t>BPSWIT15 CMPL Curncy</t>
  </si>
  <si>
    <t>BPSWIT20 CMPL Curncy</t>
  </si>
  <si>
    <t>BPSWIT25 CMPL Curncy</t>
  </si>
  <si>
    <t>BPSWIT30 CMPL Curncy</t>
  </si>
  <si>
    <t>BPSWIT40 CMPL Curncy</t>
  </si>
  <si>
    <t>BPSWIT50 CMPL Curncy</t>
  </si>
  <si>
    <t>Base</t>
  </si>
  <si>
    <t>Month</t>
  </si>
  <si>
    <t>Year</t>
  </si>
  <si>
    <t>Yearfrac</t>
  </si>
  <si>
    <t>Date</t>
  </si>
  <si>
    <t>Interpolated Breakeven</t>
  </si>
  <si>
    <t>Index</t>
  </si>
  <si>
    <t>ZC + 1 bp</t>
  </si>
  <si>
    <t>Index bumped</t>
  </si>
  <si>
    <t>Inflation BE Forwards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</si>
</sst>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%"/>
    <numFmt numFmtId="166" formatCode="0.0"/>
    <numFmt numFmtId="167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sz val="8"/>
      <color indexed="2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rgb="FF1600F5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4" fillId="0" borderId="0"/>
  </cellStyleXfs>
  <cellXfs count="42">
    <xf numFmtId="0" fontId="0" fillId="0" borderId="0" xfId="0"/>
    <xf numFmtId="17" fontId="2" fillId="2" borderId="0" xfId="2" applyNumberFormat="1" applyFill="1" applyBorder="1"/>
    <xf numFmtId="164" fontId="2" fillId="2" borderId="0" xfId="2" applyNumberFormat="1" applyFill="1" applyBorder="1"/>
    <xf numFmtId="17" fontId="2" fillId="3" borderId="0" xfId="2" applyNumberFormat="1" applyFill="1" applyBorder="1"/>
    <xf numFmtId="164" fontId="2" fillId="3" borderId="0" xfId="2" applyNumberFormat="1" applyFill="1" applyBorder="1"/>
    <xf numFmtId="165" fontId="0" fillId="0" borderId="0" xfId="1" applyNumberFormat="1" applyFont="1"/>
    <xf numFmtId="165" fontId="3" fillId="0" borderId="0" xfId="1" applyNumberFormat="1" applyFont="1"/>
    <xf numFmtId="165" fontId="0" fillId="0" borderId="0" xfId="0" applyNumberFormat="1"/>
    <xf numFmtId="164" fontId="6" fillId="4" borderId="0" xfId="3" applyNumberFormat="1" applyFont="1" applyFill="1" applyBorder="1" applyAlignment="1">
      <alignment horizontal="right" vertical="center" wrapText="1"/>
    </xf>
    <xf numFmtId="15" fontId="7" fillId="4" borderId="0" xfId="3" applyNumberFormat="1" applyFont="1" applyFill="1" applyBorder="1"/>
    <xf numFmtId="0" fontId="7" fillId="4" borderId="0" xfId="3" applyFont="1" applyFill="1" applyBorder="1"/>
    <xf numFmtId="0" fontId="0" fillId="5" borderId="0" xfId="0" applyFill="1"/>
    <xf numFmtId="0" fontId="5" fillId="5" borderId="7" xfId="3" applyFont="1" applyFill="1" applyBorder="1"/>
    <xf numFmtId="0" fontId="5" fillId="5" borderId="0" xfId="3" applyFont="1" applyFill="1" applyBorder="1"/>
    <xf numFmtId="0" fontId="5" fillId="5" borderId="6" xfId="3" applyFont="1" applyFill="1" applyBorder="1"/>
    <xf numFmtId="166" fontId="5" fillId="5" borderId="7" xfId="3" applyNumberFormat="1" applyFont="1" applyFill="1" applyBorder="1"/>
    <xf numFmtId="15" fontId="5" fillId="5" borderId="0" xfId="3" applyNumberFormat="1" applyFont="1" applyFill="1" applyBorder="1"/>
    <xf numFmtId="167" fontId="5" fillId="5" borderId="0" xfId="3" applyNumberFormat="1" applyFont="1" applyFill="1" applyBorder="1"/>
    <xf numFmtId="164" fontId="8" fillId="5" borderId="0" xfId="3" applyNumberFormat="1" applyFont="1" applyFill="1" applyBorder="1"/>
    <xf numFmtId="164" fontId="5" fillId="5" borderId="0" xfId="3" applyNumberFormat="1" applyFont="1" applyFill="1" applyBorder="1"/>
    <xf numFmtId="0" fontId="6" fillId="5" borderId="1" xfId="3" applyFont="1" applyFill="1" applyBorder="1"/>
    <xf numFmtId="0" fontId="5" fillId="5" borderId="4" xfId="3" applyFont="1" applyFill="1" applyBorder="1"/>
    <xf numFmtId="0" fontId="9" fillId="5" borderId="7" xfId="0" applyFont="1" applyFill="1" applyBorder="1" applyAlignment="1">
      <alignment vertical="center" wrapText="1"/>
    </xf>
    <xf numFmtId="0" fontId="5" fillId="5" borderId="2" xfId="3" applyFont="1" applyFill="1" applyBorder="1"/>
    <xf numFmtId="0" fontId="5" fillId="5" borderId="5" xfId="3" applyFont="1" applyFill="1" applyBorder="1"/>
    <xf numFmtId="0" fontId="9" fillId="5" borderId="0" xfId="0" applyFont="1" applyFill="1"/>
    <xf numFmtId="0" fontId="5" fillId="5" borderId="3" xfId="3" applyFont="1" applyFill="1" applyBorder="1"/>
    <xf numFmtId="164" fontId="9" fillId="5" borderId="0" xfId="0" applyNumberFormat="1" applyFont="1" applyFill="1" applyBorder="1" applyAlignment="1">
      <alignment horizontal="right" vertical="center" wrapText="1"/>
    </xf>
    <xf numFmtId="0" fontId="9" fillId="5" borderId="6" xfId="0" applyFont="1" applyFill="1" applyBorder="1" applyAlignment="1">
      <alignment horizontal="right" vertical="center" wrapText="1"/>
    </xf>
    <xf numFmtId="0" fontId="6" fillId="5" borderId="7" xfId="3" applyFont="1" applyFill="1" applyBorder="1" applyAlignment="1">
      <alignment horizontal="center" vertical="center" wrapText="1"/>
    </xf>
    <xf numFmtId="0" fontId="6" fillId="5" borderId="0" xfId="3" applyFont="1" applyFill="1" applyBorder="1" applyAlignment="1">
      <alignment horizontal="center" wrapText="1"/>
    </xf>
    <xf numFmtId="0" fontId="6" fillId="5" borderId="0" xfId="3" applyFont="1" applyFill="1" applyBorder="1" applyAlignment="1">
      <alignment horizontal="center" vertical="center" wrapText="1"/>
    </xf>
    <xf numFmtId="0" fontId="6" fillId="5" borderId="6" xfId="3" applyFont="1" applyFill="1" applyBorder="1" applyAlignment="1">
      <alignment horizontal="center" vertical="center" wrapText="1"/>
    </xf>
    <xf numFmtId="2" fontId="5" fillId="5" borderId="7" xfId="3" applyNumberFormat="1" applyFont="1" applyFill="1" applyBorder="1"/>
    <xf numFmtId="165" fontId="0" fillId="5" borderId="0" xfId="0" applyNumberFormat="1" applyFill="1"/>
    <xf numFmtId="0" fontId="0" fillId="5" borderId="0" xfId="0" applyFill="1" applyBorder="1"/>
    <xf numFmtId="165" fontId="0" fillId="5" borderId="0" xfId="0" applyNumberFormat="1" applyFill="1" applyBorder="1"/>
    <xf numFmtId="165" fontId="0" fillId="5" borderId="0" xfId="1" applyNumberFormat="1" applyFont="1" applyFill="1" applyBorder="1"/>
    <xf numFmtId="166" fontId="5" fillId="5" borderId="0" xfId="3" applyNumberFormat="1" applyFont="1" applyFill="1" applyBorder="1"/>
    <xf numFmtId="0" fontId="0" fillId="5" borderId="7" xfId="0" applyFill="1" applyBorder="1"/>
    <xf numFmtId="2" fontId="0" fillId="5" borderId="0" xfId="0" applyNumberFormat="1" applyFill="1"/>
    <xf numFmtId="2" fontId="0" fillId="5" borderId="6" xfId="0" applyNumberFormat="1" applyFill="1" applyBorder="1"/>
  </cellXfs>
  <cellStyles count="4">
    <cellStyle name="Normal" xfId="0" builtinId="0"/>
    <cellStyle name="Normal 18 2" xfId="3"/>
    <cellStyle name="Normal_euroinflation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3.5419999999999998</v>
        <stp/>
        <stp>##V3_BDPV12</stp>
        <stp>BPSWIT10 CMPL Curncy</stp>
        <stp>PX_LAST</stp>
        <stp>[20170308 RPI Curve - Richard Godfrey.xlsx]Sheet3!R14C4</stp>
        <tr r="D14" s="3"/>
      </tp>
      <tp>
        <v>3.5619999999999998</v>
        <stp/>
        <stp>##V3_BDPV12</stp>
        <stp>BPSWIT12 CMPL Curncy</stp>
        <stp>PX_LAST</stp>
        <stp>[20170308 RPI Curve - Richard Godfrey.xlsx]Sheet3!R15C4</stp>
        <tr r="D15" s="3"/>
      </tp>
      <tp>
        <v>3.6230000000000002</v>
        <stp/>
        <stp>##V3_BDPV12</stp>
        <stp>BPSWIT15 CMPL Curncy</stp>
        <stp>PX_LAST</stp>
        <stp>[20170308 RPI Curve - Richard Godfrey.xlsx]Sheet3!R16C4</stp>
        <tr r="D16" s="3"/>
      </tp>
      <tp>
        <v>3.64</v>
        <stp/>
        <stp>##V3_BDPV12</stp>
        <stp>BPSWIT20 CMPL Curncy</stp>
        <stp>PX_LAST</stp>
        <stp>[20170308 RPI Curve - Richard Godfrey.xlsx]Sheet3!R17C4</stp>
        <tr r="D17" s="3"/>
      </tp>
      <tp>
        <v>3.4580000000000002</v>
        <stp/>
        <stp>##V3_BDPV12</stp>
        <stp>BPSWIT40 CMPL Curncy</stp>
        <stp>PX_LAST</stp>
        <stp>[20170308 RPI Curve - Richard Godfrey.xlsx]Sheet3!R20C4</stp>
        <tr r="D20" s="3"/>
      </tp>
      <tp>
        <v>3.4710000000000001</v>
        <stp/>
        <stp>##V3_BDPV12</stp>
        <stp>BPSWIT50 CMPL Curncy</stp>
        <stp>PX_LAST</stp>
        <stp>[20170308 RPI Curve - Richard Godfrey.xlsx]Sheet3!R21C4</stp>
        <tr r="D21" s="3"/>
      </tp>
      <tp>
        <v>3.633</v>
        <stp/>
        <stp>##V3_BDPV12</stp>
        <stp>BPSWIT25 CMPL Curncy</stp>
        <stp>PX_LAST</stp>
        <stp>[20170308 RPI Curve - Richard Godfrey.xlsx]Sheet3!R18C4</stp>
        <tr r="D18" s="3"/>
      </tp>
      <tp>
        <v>3.5630000000000002</v>
        <stp/>
        <stp>##V3_BDPV12</stp>
        <stp>BPSWIT30 CMPL Curncy</stp>
        <stp>PX_LAST</stp>
        <stp>[20170308 RPI Curve - Richard Godfrey.xlsx]Sheet3!R19C4</stp>
        <tr r="D19" s="3"/>
      </tp>
      <tp>
        <v>3.528</v>
        <stp/>
        <stp>##V3_BDPV12</stp>
        <stp>BPSWIT7 CMPL Curncy</stp>
        <stp>PX_LAST</stp>
        <stp>[20170308 RPI Curve - Richard Godfrey.xlsx]Sheet3!R11C4</stp>
        <tr r="D11" s="3"/>
      </tp>
      <tp>
        <v>3.5470000000000002</v>
        <stp/>
        <stp>##V3_BDPV12</stp>
        <stp>BPSWIT6 CMPL Curncy</stp>
        <stp>PX_LAST</stp>
        <stp>[20170308 RPI Curve - Richard Godfrey.xlsx]Sheet3!R10C4</stp>
        <tr r="D10" s="3"/>
      </tp>
      <tp>
        <v>3.5379999999999998</v>
        <stp/>
        <stp>##V3_BDPV12</stp>
        <stp>BPSWIT9 CMPL Curncy</stp>
        <stp>PX_LAST</stp>
        <stp>[20170308 RPI Curve - Richard Godfrey.xlsx]Sheet3!R13C4</stp>
        <tr r="D13" s="3"/>
      </tp>
      <tp>
        <v>3.5310000000000001</v>
        <stp/>
        <stp>##V3_BDPV12</stp>
        <stp>BPSWIT8 CMPL Curncy</stp>
        <stp>PX_LAST</stp>
        <stp>[20170308 RPI Curve - Richard Godfrey.xlsx]Sheet3!R12C4</stp>
        <tr r="D12" s="3"/>
      </tp>
    </main>
    <main first="bloomberg.rtd">
      <tp>
        <v>3.5550000000000002</v>
        <stp/>
        <stp>##V3_BDPV12</stp>
        <stp>BPSWIT5 CMPL Curncy</stp>
        <stp>PX_LAST</stp>
        <stp>[20170308 RPI Curve - Richard Godfrey.xlsx]Sheet3!R9C4</stp>
        <tr r="D9" s="3"/>
      </tp>
      <tp>
        <v>3.5840000000000001</v>
        <stp/>
        <stp>##V3_BDPV12</stp>
        <stp>BPSWIT4 CMPL Curncy</stp>
        <stp>PX_LAST</stp>
        <stp>[20170308 RPI Curve - Richard Godfrey.xlsx]Sheet3!R8C4</stp>
        <tr r="D8" s="3"/>
      </tp>
    </main>
    <main first="bloomberg.rtd">
      <tp>
        <v>3.8325</v>
        <stp/>
        <stp>##V3_BDPV12</stp>
        <stp>BPSWIT1 CMPL Curncy</stp>
        <stp>PX_LAST</stp>
        <stp>[20170308 RPI Curve - Richard Godfrey.xlsx]Sheet3!R5C4</stp>
        <tr r="D5" s="3"/>
      </tp>
      <tp>
        <v>3.617</v>
        <stp/>
        <stp>##V3_BDPV12</stp>
        <stp>BPSWIT3 CMPL Curncy</stp>
        <stp>PX_LAST</stp>
        <stp>[20170308 RPI Curve - Richard Godfrey.xlsx]Sheet3!R7C4</stp>
        <tr r="D7" s="3"/>
      </tp>
      <tp>
        <v>3.677</v>
        <stp/>
        <stp>##V3_BDPV12</stp>
        <stp>BPSWIT2 CMPL Curncy</stp>
        <stp>PX_LAST</stp>
        <stp>[20170308 RPI Curve - Richard Godfrey.xlsx]Sheet3!R6C4</stp>
        <tr r="D6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Q723"/>
  <sheetViews>
    <sheetView workbookViewId="0">
      <selection activeCell="J18" sqref="J18"/>
    </sheetView>
  </sheetViews>
  <sheetFormatPr defaultRowHeight="15" x14ac:dyDescent="0.25"/>
  <cols>
    <col min="9" max="9" width="10.5703125" bestFit="1" customWidth="1"/>
  </cols>
  <sheetData>
    <row r="2" spans="1:17" x14ac:dyDescent="0.25">
      <c r="B2" t="s">
        <v>0</v>
      </c>
      <c r="D2" t="s">
        <v>5</v>
      </c>
      <c r="E2" t="s">
        <v>2</v>
      </c>
      <c r="F2" t="s">
        <v>3</v>
      </c>
      <c r="G2" t="s">
        <v>1</v>
      </c>
      <c r="I2" t="s">
        <v>2</v>
      </c>
      <c r="J2" t="s">
        <v>3</v>
      </c>
      <c r="K2" t="s">
        <v>4</v>
      </c>
    </row>
    <row r="3" spans="1:17" x14ac:dyDescent="0.25">
      <c r="A3">
        <v>0</v>
      </c>
      <c r="B3" s="3">
        <v>42736</v>
      </c>
      <c r="C3" s="4">
        <v>265.5</v>
      </c>
      <c r="D3" s="4"/>
      <c r="G3" s="3">
        <v>42736</v>
      </c>
      <c r="H3" s="4">
        <v>265.5</v>
      </c>
    </row>
    <row r="4" spans="1:17" x14ac:dyDescent="0.25">
      <c r="A4">
        <f>A3+1/12</f>
        <v>8.3333333333333329E-2</v>
      </c>
      <c r="B4" s="1">
        <v>42767</v>
      </c>
      <c r="C4" s="2">
        <v>267.26645838124949</v>
      </c>
      <c r="D4" s="2">
        <f>C4/C3-1</f>
        <v>6.6533272363447082E-3</v>
      </c>
      <c r="F4" s="5">
        <f>(C4/$C$3)^(1/A4)-1</f>
        <v>8.2827308274244338E-2</v>
      </c>
      <c r="G4" s="1">
        <v>42767</v>
      </c>
      <c r="H4" s="2">
        <v>267.26860216392942</v>
      </c>
      <c r="J4" s="5">
        <f>(H4/$H$3)^(1/A4)-1</f>
        <v>8.2931539034277746E-2</v>
      </c>
      <c r="K4" s="7">
        <f>J4-F4</f>
        <v>1.0423076003340803E-4</v>
      </c>
    </row>
    <row r="5" spans="1:17" x14ac:dyDescent="0.25">
      <c r="A5">
        <f t="shared" ref="A5:A68" si="0">A4+1/12</f>
        <v>0.16666666666666666</v>
      </c>
      <c r="B5" s="1">
        <v>42795</v>
      </c>
      <c r="C5" s="2">
        <v>268.52527108253469</v>
      </c>
      <c r="D5" s="2">
        <f t="shared" ref="D5:D68" si="1">C5/C4-1</f>
        <v>4.7099539123218737E-3</v>
      </c>
      <c r="F5" s="5">
        <f t="shared" ref="F5:F68" si="2">(C5/$C$3)^(1/A5)-1</f>
        <v>7.03451108288069E-2</v>
      </c>
      <c r="G5" s="1">
        <v>42795</v>
      </c>
      <c r="H5" s="2">
        <v>268.52957885940629</v>
      </c>
      <c r="J5" s="5">
        <f t="shared" ref="J5:J68" si="3">(H5/$H$3)^(1/A5)-1</f>
        <v>7.0448140077836063E-2</v>
      </c>
      <c r="K5" s="7">
        <f t="shared" ref="K5:K68" si="4">J5-F5</f>
        <v>1.0302924902916288E-4</v>
      </c>
      <c r="O5" t="s">
        <v>6</v>
      </c>
      <c r="P5" s="7">
        <f>F15</f>
        <v>3.8874999999999993E-2</v>
      </c>
      <c r="Q5">
        <f>C3*(1+P5)</f>
        <v>275.82131249999998</v>
      </c>
    </row>
    <row r="6" spans="1:17" x14ac:dyDescent="0.25">
      <c r="A6">
        <f t="shared" si="0"/>
        <v>0.25</v>
      </c>
      <c r="B6" s="1">
        <v>42826</v>
      </c>
      <c r="C6" s="2">
        <v>270.5093118915911</v>
      </c>
      <c r="D6" s="2">
        <f t="shared" si="1"/>
        <v>7.3886558276543557E-3</v>
      </c>
      <c r="F6" s="5">
        <f t="shared" si="2"/>
        <v>7.7632738939555024E-2</v>
      </c>
      <c r="G6" s="1">
        <v>42826</v>
      </c>
      <c r="H6" s="2">
        <v>270.51582132602601</v>
      </c>
      <c r="J6" s="5">
        <f t="shared" si="3"/>
        <v>7.773646968088288E-2</v>
      </c>
      <c r="K6" s="7">
        <f t="shared" si="4"/>
        <v>1.0373074132785653E-4</v>
      </c>
      <c r="O6" t="s">
        <v>7</v>
      </c>
      <c r="P6" s="7">
        <f>F27</f>
        <v>3.675000000000006E-2</v>
      </c>
    </row>
    <row r="7" spans="1:17" x14ac:dyDescent="0.25">
      <c r="A7">
        <f t="shared" si="0"/>
        <v>0.33333333333333331</v>
      </c>
      <c r="B7" s="1">
        <v>42856</v>
      </c>
      <c r="C7" s="2">
        <v>271.57407868346559</v>
      </c>
      <c r="D7" s="2">
        <f t="shared" si="1"/>
        <v>3.9361557812147563E-3</v>
      </c>
      <c r="F7" s="5">
        <f t="shared" si="2"/>
        <v>7.0215824650050607E-2</v>
      </c>
      <c r="G7" s="1">
        <v>42856</v>
      </c>
      <c r="H7" s="2">
        <v>271.58279212718861</v>
      </c>
      <c r="J7" s="5">
        <f t="shared" si="3"/>
        <v>7.0318841454254599E-2</v>
      </c>
      <c r="K7" s="7">
        <f t="shared" si="4"/>
        <v>1.0301680420399251E-4</v>
      </c>
      <c r="O7" t="s">
        <v>8</v>
      </c>
    </row>
    <row r="8" spans="1:17" x14ac:dyDescent="0.25">
      <c r="A8">
        <f t="shared" si="0"/>
        <v>0.41666666666666663</v>
      </c>
      <c r="B8" s="1">
        <v>42887</v>
      </c>
      <c r="C8" s="2">
        <v>272.13108503058578</v>
      </c>
      <c r="D8" s="2">
        <f t="shared" si="1"/>
        <v>2.0510291328996733E-3</v>
      </c>
      <c r="F8" s="5">
        <f t="shared" si="2"/>
        <v>6.0993459852722198E-2</v>
      </c>
      <c r="G8" s="1">
        <v>42887</v>
      </c>
      <c r="H8" s="2">
        <v>272.14199921842027</v>
      </c>
      <c r="J8" s="5">
        <f t="shared" si="3"/>
        <v>6.109558893079936E-2</v>
      </c>
      <c r="K8" s="7">
        <f t="shared" si="4"/>
        <v>1.0212907807716221E-4</v>
      </c>
      <c r="O8" t="s">
        <v>9</v>
      </c>
    </row>
    <row r="9" spans="1:17" x14ac:dyDescent="0.25">
      <c r="A9">
        <f t="shared" si="0"/>
        <v>0.49999999999999994</v>
      </c>
      <c r="B9" s="1">
        <v>42917</v>
      </c>
      <c r="C9" s="2">
        <v>271.97233254662615</v>
      </c>
      <c r="D9" s="2">
        <f t="shared" si="1"/>
        <v>-5.8336769554201418E-4</v>
      </c>
      <c r="F9" s="5">
        <f t="shared" si="2"/>
        <v>4.9350082754034963E-2</v>
      </c>
      <c r="G9" s="1">
        <v>42917</v>
      </c>
      <c r="H9" s="2">
        <v>271.98542198414219</v>
      </c>
      <c r="J9" s="5">
        <f t="shared" si="3"/>
        <v>4.9451091064252051E-2</v>
      </c>
      <c r="K9" s="7">
        <f t="shared" si="4"/>
        <v>1.0100831021708778E-4</v>
      </c>
      <c r="O9" t="s">
        <v>10</v>
      </c>
    </row>
    <row r="10" spans="1:17" x14ac:dyDescent="0.25">
      <c r="A10">
        <f t="shared" si="0"/>
        <v>0.58333333333333326</v>
      </c>
      <c r="B10" s="1">
        <v>42948</v>
      </c>
      <c r="C10" s="2">
        <v>273.16368365721132</v>
      </c>
      <c r="D10" s="2">
        <f t="shared" si="1"/>
        <v>4.3804128877003023E-3</v>
      </c>
      <c r="F10" s="5">
        <f t="shared" si="2"/>
        <v>4.9991755253854686E-2</v>
      </c>
      <c r="G10" s="1">
        <v>42948</v>
      </c>
      <c r="H10" s="2">
        <v>273.17902162249175</v>
      </c>
      <c r="J10" s="5">
        <f t="shared" si="3"/>
        <v>5.0092825330165125E-2</v>
      </c>
      <c r="K10" s="7">
        <f t="shared" si="4"/>
        <v>1.0107007631043885E-4</v>
      </c>
    </row>
    <row r="11" spans="1:17" x14ac:dyDescent="0.25">
      <c r="A11">
        <f t="shared" si="0"/>
        <v>0.66666666666666663</v>
      </c>
      <c r="B11" s="1">
        <v>42979</v>
      </c>
      <c r="C11" s="2">
        <v>274.54071148257435</v>
      </c>
      <c r="D11" s="2">
        <f t="shared" si="1"/>
        <v>5.0410354953736025E-3</v>
      </c>
      <c r="F11" s="5">
        <f t="shared" si="2"/>
        <v>5.1509847199645353E-2</v>
      </c>
      <c r="G11" s="1">
        <v>42979</v>
      </c>
      <c r="H11" s="2">
        <v>274.55832902123996</v>
      </c>
      <c r="J11" s="5">
        <f t="shared" si="3"/>
        <v>5.1611063404406465E-2</v>
      </c>
      <c r="K11" s="7">
        <f t="shared" si="4"/>
        <v>1.0121620476111204E-4</v>
      </c>
    </row>
    <row r="12" spans="1:17" x14ac:dyDescent="0.25">
      <c r="A12">
        <f t="shared" si="0"/>
        <v>0.75</v>
      </c>
      <c r="B12" s="1">
        <v>43009</v>
      </c>
      <c r="C12" s="2">
        <v>275.01423287836013</v>
      </c>
      <c r="D12" s="2">
        <f t="shared" si="1"/>
        <v>1.7247766031809331E-3</v>
      </c>
      <c r="F12" s="5">
        <f t="shared" si="2"/>
        <v>4.8063332053938534E-2</v>
      </c>
      <c r="G12" s="1">
        <v>43009</v>
      </c>
      <c r="H12" s="2">
        <v>275.03408687359348</v>
      </c>
      <c r="J12" s="5">
        <f t="shared" si="3"/>
        <v>4.8164216504142709E-2</v>
      </c>
      <c r="K12" s="7">
        <f t="shared" si="4"/>
        <v>1.0088445020417502E-4</v>
      </c>
    </row>
    <row r="13" spans="1:17" x14ac:dyDescent="0.25">
      <c r="A13">
        <f t="shared" si="0"/>
        <v>0.83333333333333337</v>
      </c>
      <c r="B13" s="1">
        <v>43040</v>
      </c>
      <c r="C13" s="2">
        <v>275.56825328824539</v>
      </c>
      <c r="D13" s="2">
        <f t="shared" si="1"/>
        <v>2.01451540920905E-3</v>
      </c>
      <c r="F13" s="5">
        <f t="shared" si="2"/>
        <v>4.5677081696961386E-2</v>
      </c>
      <c r="G13" s="1">
        <v>43040</v>
      </c>
      <c r="H13" s="2">
        <v>275.59035781180074</v>
      </c>
      <c r="J13" s="5">
        <f t="shared" si="3"/>
        <v>4.5777736451547479E-2</v>
      </c>
      <c r="K13" s="7">
        <f t="shared" si="4"/>
        <v>1.0065475458609363E-4</v>
      </c>
    </row>
    <row r="14" spans="1:17" x14ac:dyDescent="0.25">
      <c r="A14">
        <f t="shared" si="0"/>
        <v>0.91666666666666674</v>
      </c>
      <c r="B14" s="1">
        <v>43070</v>
      </c>
      <c r="C14" s="2">
        <v>276.73953093536869</v>
      </c>
      <c r="D14" s="2">
        <f t="shared" si="1"/>
        <v>4.2504085036898509E-3</v>
      </c>
      <c r="F14" s="5">
        <f t="shared" si="2"/>
        <v>4.6269693280741597E-2</v>
      </c>
      <c r="G14" s="1">
        <v>43070</v>
      </c>
      <c r="H14" s="2">
        <v>276.76394935779257</v>
      </c>
      <c r="J14" s="5">
        <f t="shared" si="3"/>
        <v>4.637040507891621E-2</v>
      </c>
      <c r="K14" s="7">
        <f t="shared" si="4"/>
        <v>1.0071179817461307E-4</v>
      </c>
    </row>
    <row r="15" spans="1:17" x14ac:dyDescent="0.25">
      <c r="A15">
        <f t="shared" si="0"/>
        <v>1</v>
      </c>
      <c r="B15" s="1">
        <v>43101</v>
      </c>
      <c r="C15" s="2">
        <v>275.82131249999998</v>
      </c>
      <c r="D15" s="2">
        <f t="shared" si="1"/>
        <v>-3.3179879732583295E-3</v>
      </c>
      <c r="E15" s="5">
        <f>C15/C3-1</f>
        <v>3.8874999999999993E-2</v>
      </c>
      <c r="F15" s="5">
        <f t="shared" si="2"/>
        <v>3.8874999999999993E-2</v>
      </c>
      <c r="G15" s="1">
        <v>43101</v>
      </c>
      <c r="H15" s="2">
        <v>275.84786250000002</v>
      </c>
      <c r="I15" s="5">
        <f>H15/H3-1</f>
        <v>3.8974999999999982E-2</v>
      </c>
      <c r="J15" s="5">
        <f t="shared" si="3"/>
        <v>3.8974999999999982E-2</v>
      </c>
      <c r="K15" s="7">
        <f t="shared" si="4"/>
        <v>9.9999999999988987E-5</v>
      </c>
      <c r="M15" s="7">
        <f>I15-E15</f>
        <v>9.9999999999988987E-5</v>
      </c>
    </row>
    <row r="16" spans="1:17" x14ac:dyDescent="0.25">
      <c r="A16">
        <f t="shared" si="0"/>
        <v>1.0833333333333333</v>
      </c>
      <c r="B16" s="1">
        <v>43132</v>
      </c>
      <c r="C16" s="2">
        <v>277.5617043046052</v>
      </c>
      <c r="D16" s="2">
        <f t="shared" si="1"/>
        <v>6.3098525231084501E-3</v>
      </c>
      <c r="E16" s="5">
        <f t="shared" ref="E16:E79" si="5">C16/C4-1</f>
        <v>3.8520531104841327E-2</v>
      </c>
      <c r="F16" s="5">
        <f t="shared" si="2"/>
        <v>4.1863414325860937E-2</v>
      </c>
      <c r="G16" s="1">
        <v>43132</v>
      </c>
      <c r="H16" s="2">
        <v>277.5906575349332</v>
      </c>
      <c r="I16" s="5">
        <f t="shared" ref="I16:I79" si="6">H16/H4-1</f>
        <v>3.8620531133966685E-2</v>
      </c>
      <c r="J16" s="5">
        <f t="shared" si="3"/>
        <v>4.1963733608721077E-2</v>
      </c>
      <c r="K16" s="7">
        <f t="shared" si="4"/>
        <v>1.0031928286013958E-4</v>
      </c>
      <c r="M16" s="7">
        <f t="shared" ref="M16:M79" si="7">I16-E16</f>
        <v>1.0000002912535777E-4</v>
      </c>
    </row>
    <row r="17" spans="1:15" x14ac:dyDescent="0.25">
      <c r="A17">
        <f t="shared" si="0"/>
        <v>1.1666666666666665</v>
      </c>
      <c r="B17" s="1">
        <v>43160</v>
      </c>
      <c r="C17" s="2">
        <v>278.77385576070907</v>
      </c>
      <c r="D17" s="2">
        <f t="shared" si="1"/>
        <v>4.3671422869402399E-3</v>
      </c>
      <c r="E17" s="5">
        <f t="shared" si="5"/>
        <v>3.8166183156088662E-2</v>
      </c>
      <c r="F17" s="5">
        <f t="shared" si="2"/>
        <v>4.2703252948288251E-2</v>
      </c>
      <c r="G17" s="1">
        <v>43160</v>
      </c>
      <c r="H17" s="2">
        <v>278.80518091937847</v>
      </c>
      <c r="I17" s="5">
        <f t="shared" si="6"/>
        <v>3.8266183202678716E-2</v>
      </c>
      <c r="J17" s="5">
        <f t="shared" si="3"/>
        <v>4.2803680226075835E-2</v>
      </c>
      <c r="K17" s="7">
        <f t="shared" si="4"/>
        <v>1.0042727778758476E-4</v>
      </c>
      <c r="M17" s="7">
        <f t="shared" si="7"/>
        <v>1.0000004659005413E-4</v>
      </c>
    </row>
    <row r="18" spans="1:15" x14ac:dyDescent="0.25">
      <c r="A18">
        <f t="shared" si="0"/>
        <v>1.2499999999999998</v>
      </c>
      <c r="B18" s="1">
        <v>43191</v>
      </c>
      <c r="C18" s="2">
        <v>280.73779812085166</v>
      </c>
      <c r="D18" s="2">
        <f t="shared" si="1"/>
        <v>7.0449302169439676E-3</v>
      </c>
      <c r="E18" s="5">
        <f t="shared" si="5"/>
        <v>3.7811956112474787E-2</v>
      </c>
      <c r="F18" s="5">
        <f t="shared" si="2"/>
        <v>4.5656619608337001E-2</v>
      </c>
      <c r="G18" s="1">
        <v>43191</v>
      </c>
      <c r="H18" s="2">
        <v>280.77160528604384</v>
      </c>
      <c r="I18" s="5">
        <f t="shared" si="6"/>
        <v>3.7911956164876415E-2</v>
      </c>
      <c r="J18" s="5">
        <f t="shared" si="3"/>
        <v>4.5757354915455517E-2</v>
      </c>
      <c r="K18" s="7">
        <f t="shared" si="4"/>
        <v>1.0073530711851575E-4</v>
      </c>
      <c r="M18" s="7">
        <f t="shared" si="7"/>
        <v>1.0000005240162757E-4</v>
      </c>
      <c r="O18" t="s">
        <v>11</v>
      </c>
    </row>
    <row r="19" spans="1:15" x14ac:dyDescent="0.25">
      <c r="A19">
        <f t="shared" si="0"/>
        <v>1.333333333333333</v>
      </c>
      <c r="B19" s="1">
        <v>43221</v>
      </c>
      <c r="C19" s="2">
        <v>281.74665976841453</v>
      </c>
      <c r="D19" s="2">
        <f t="shared" si="1"/>
        <v>3.5936081792897756E-3</v>
      </c>
      <c r="E19" s="5">
        <f t="shared" si="5"/>
        <v>3.7457849932745813E-2</v>
      </c>
      <c r="F19" s="5">
        <f t="shared" si="2"/>
        <v>4.5552122361886882E-2</v>
      </c>
      <c r="G19" s="1">
        <v>43221</v>
      </c>
      <c r="H19" s="2">
        <v>281.78285789086493</v>
      </c>
      <c r="I19" s="5">
        <f t="shared" si="6"/>
        <v>3.755784997931455E-2</v>
      </c>
      <c r="J19" s="5">
        <f t="shared" si="3"/>
        <v>4.5652868230548371E-2</v>
      </c>
      <c r="K19" s="7">
        <f t="shared" si="4"/>
        <v>1.0074586866148927E-4</v>
      </c>
      <c r="M19" s="7">
        <f t="shared" si="7"/>
        <v>1.0000004656873784E-4</v>
      </c>
    </row>
    <row r="20" spans="1:15" x14ac:dyDescent="0.25">
      <c r="A20">
        <f t="shared" si="0"/>
        <v>1.4166666666666663</v>
      </c>
      <c r="B20" s="1">
        <v>43252</v>
      </c>
      <c r="C20" s="2">
        <v>282.22819995638878</v>
      </c>
      <c r="D20" s="2">
        <f t="shared" si="1"/>
        <v>1.7091247447975633E-3</v>
      </c>
      <c r="E20" s="5">
        <f t="shared" si="5"/>
        <v>3.7103864575662726E-2</v>
      </c>
      <c r="F20" s="5">
        <f t="shared" si="2"/>
        <v>4.4073828873055998E-2</v>
      </c>
      <c r="G20" s="1">
        <v>43252</v>
      </c>
      <c r="H20" s="2">
        <v>282.26673331061153</v>
      </c>
      <c r="I20" s="5">
        <f t="shared" si="6"/>
        <v>3.7203864604761661E-2</v>
      </c>
      <c r="J20" s="5">
        <f t="shared" si="3"/>
        <v>4.417445047422075E-2</v>
      </c>
      <c r="K20" s="7">
        <f t="shared" si="4"/>
        <v>1.0062160116475205E-4</v>
      </c>
      <c r="M20" s="7">
        <f t="shared" si="7"/>
        <v>1.0000002909893446E-4</v>
      </c>
    </row>
    <row r="21" spans="1:15" x14ac:dyDescent="0.25">
      <c r="A21">
        <f t="shared" si="0"/>
        <v>1.4999999999999996</v>
      </c>
      <c r="B21" s="1">
        <v>43282</v>
      </c>
      <c r="C21" s="2">
        <v>281.96731576771481</v>
      </c>
      <c r="D21" s="2">
        <f t="shared" si="1"/>
        <v>-9.2437321541316564E-4</v>
      </c>
      <c r="E21" s="5">
        <f t="shared" si="5"/>
        <v>3.6750000000000504E-2</v>
      </c>
      <c r="F21" s="5">
        <f t="shared" si="2"/>
        <v>4.0933126612500592E-2</v>
      </c>
      <c r="G21" s="1">
        <v>43282</v>
      </c>
      <c r="H21" s="2">
        <v>282.0080847842579</v>
      </c>
      <c r="I21" s="5">
        <f t="shared" si="6"/>
        <v>3.6850000000000271E-2</v>
      </c>
      <c r="J21" s="5">
        <f t="shared" si="3"/>
        <v>4.1033461639262248E-2</v>
      </c>
      <c r="K21" s="7">
        <f t="shared" si="4"/>
        <v>1.003350267616554E-4</v>
      </c>
      <c r="M21" s="7">
        <f t="shared" si="7"/>
        <v>9.9999999999766942E-5</v>
      </c>
    </row>
    <row r="22" spans="1:15" x14ac:dyDescent="0.25">
      <c r="A22">
        <f t="shared" si="0"/>
        <v>1.5833333333333328</v>
      </c>
      <c r="B22" s="1">
        <v>43313</v>
      </c>
      <c r="C22" s="2">
        <v>283.10581906245068</v>
      </c>
      <c r="D22" s="2">
        <f t="shared" si="1"/>
        <v>4.0377137032214794E-3</v>
      </c>
      <c r="E22" s="5">
        <f t="shared" si="5"/>
        <v>3.6396256164547669E-2</v>
      </c>
      <c r="F22" s="5">
        <f t="shared" si="2"/>
        <v>4.138452157022976E-2</v>
      </c>
      <c r="G22" s="1">
        <v>43313</v>
      </c>
      <c r="H22" s="2">
        <v>283.14903316328287</v>
      </c>
      <c r="I22" s="5">
        <f t="shared" si="6"/>
        <v>3.6496256123827786E-2</v>
      </c>
      <c r="J22" s="5">
        <f t="shared" si="3"/>
        <v>4.148491452515346E-2</v>
      </c>
      <c r="K22" s="7">
        <f t="shared" si="4"/>
        <v>1.0039295492370037E-4</v>
      </c>
      <c r="M22" s="7">
        <f t="shared" si="7"/>
        <v>9.9999959280117068E-5</v>
      </c>
    </row>
    <row r="23" spans="1:15" x14ac:dyDescent="0.25">
      <c r="A23">
        <f t="shared" si="0"/>
        <v>1.6666666666666661</v>
      </c>
      <c r="B23" s="1">
        <v>43344</v>
      </c>
      <c r="C23" s="2">
        <v>284.43588159781632</v>
      </c>
      <c r="D23" s="2">
        <f t="shared" si="1"/>
        <v>4.6981109034436308E-3</v>
      </c>
      <c r="E23" s="5">
        <f t="shared" si="5"/>
        <v>3.6042633028107396E-2</v>
      </c>
      <c r="F23" s="5">
        <f t="shared" si="2"/>
        <v>4.2202027762339611E-2</v>
      </c>
      <c r="G23" s="1">
        <v>43344</v>
      </c>
      <c r="H23" s="2">
        <v>284.48158992631647</v>
      </c>
      <c r="I23" s="5">
        <f t="shared" si="6"/>
        <v>3.6142632935054264E-2</v>
      </c>
      <c r="J23" s="5">
        <f t="shared" si="3"/>
        <v>4.230251251436834E-2</v>
      </c>
      <c r="K23" s="7">
        <f t="shared" si="4"/>
        <v>1.0048475202872886E-4</v>
      </c>
      <c r="M23" s="7">
        <f t="shared" si="7"/>
        <v>9.9999906946868222E-5</v>
      </c>
    </row>
    <row r="24" spans="1:15" x14ac:dyDescent="0.25">
      <c r="A24">
        <f t="shared" si="0"/>
        <v>1.7499999999999993</v>
      </c>
      <c r="B24" s="1">
        <v>43374</v>
      </c>
      <c r="C24" s="2">
        <v>284.82925173852556</v>
      </c>
      <c r="D24" s="2">
        <f t="shared" si="1"/>
        <v>1.3829835339320695E-3</v>
      </c>
      <c r="E24" s="5">
        <f t="shared" si="5"/>
        <v>3.5689130549496406E-2</v>
      </c>
      <c r="F24" s="5">
        <f t="shared" si="2"/>
        <v>4.0974368801735883E-2</v>
      </c>
      <c r="G24" s="1">
        <v>43374</v>
      </c>
      <c r="H24" s="2">
        <v>284.87731767109608</v>
      </c>
      <c r="I24" s="5">
        <f t="shared" si="6"/>
        <v>3.5789130392505086E-2</v>
      </c>
      <c r="J24" s="5">
        <f t="shared" si="3"/>
        <v>4.107474692412727E-2</v>
      </c>
      <c r="K24" s="7">
        <f t="shared" si="4"/>
        <v>1.0037812239138688E-4</v>
      </c>
      <c r="M24" s="7">
        <f t="shared" si="7"/>
        <v>9.9999843008680145E-5</v>
      </c>
    </row>
    <row r="25" spans="1:15" x14ac:dyDescent="0.25">
      <c r="A25">
        <f t="shared" si="0"/>
        <v>1.8333333333333326</v>
      </c>
      <c r="B25" s="1">
        <v>43405</v>
      </c>
      <c r="C25" s="2">
        <v>285.30566383270479</v>
      </c>
      <c r="D25" s="2">
        <f t="shared" si="1"/>
        <v>1.6726234797561634E-3</v>
      </c>
      <c r="E25" s="5">
        <f t="shared" si="5"/>
        <v>3.5335748687545854E-2</v>
      </c>
      <c r="F25" s="5">
        <f t="shared" si="2"/>
        <v>4.0023615128071288E-2</v>
      </c>
      <c r="G25" s="1">
        <v>43405</v>
      </c>
      <c r="H25" s="2">
        <v>285.3561084078483</v>
      </c>
      <c r="I25" s="5">
        <f t="shared" si="6"/>
        <v>3.5435748455018734E-2</v>
      </c>
      <c r="J25" s="5">
        <f t="shared" si="3"/>
        <v>4.0123912231491587E-2</v>
      </c>
      <c r="K25" s="7">
        <f t="shared" si="4"/>
        <v>1.0029710342029929E-4</v>
      </c>
      <c r="M25" s="7">
        <f t="shared" si="7"/>
        <v>9.9999767472880308E-5</v>
      </c>
    </row>
    <row r="26" spans="1:15" x14ac:dyDescent="0.25">
      <c r="A26">
        <f t="shared" si="0"/>
        <v>1.9166666666666659</v>
      </c>
      <c r="B26" s="1">
        <v>43435</v>
      </c>
      <c r="C26" s="2">
        <v>286.42056808970176</v>
      </c>
      <c r="D26" s="2">
        <f t="shared" si="1"/>
        <v>3.9077536773006738E-3</v>
      </c>
      <c r="E26" s="5">
        <f t="shared" si="5"/>
        <v>3.4982487401100659E-2</v>
      </c>
      <c r="F26" s="5">
        <f t="shared" si="2"/>
        <v>4.0365442907801308E-2</v>
      </c>
      <c r="G26" s="1">
        <v>43435</v>
      </c>
      <c r="H26" s="2">
        <v>286.47351703574799</v>
      </c>
      <c r="I26" s="5">
        <f t="shared" si="6"/>
        <v>3.5082487081448566E-2</v>
      </c>
      <c r="J26" s="5">
        <f t="shared" si="3"/>
        <v>4.0465782711905485E-2</v>
      </c>
      <c r="K26" s="7">
        <f t="shared" si="4"/>
        <v>1.0033980410417698E-4</v>
      </c>
      <c r="M26" s="7">
        <f t="shared" si="7"/>
        <v>9.9999680347906406E-5</v>
      </c>
    </row>
    <row r="27" spans="1:15" x14ac:dyDescent="0.25">
      <c r="A27">
        <f t="shared" si="0"/>
        <v>1.9999999999999991</v>
      </c>
      <c r="B27" s="1">
        <v>43466</v>
      </c>
      <c r="C27" s="2">
        <v>285.37282434375004</v>
      </c>
      <c r="D27" s="2">
        <f t="shared" si="1"/>
        <v>-3.6580604282007156E-3</v>
      </c>
      <c r="E27" s="5">
        <f t="shared" si="5"/>
        <v>3.462934664901951E-2</v>
      </c>
      <c r="F27" s="6">
        <f t="shared" si="2"/>
        <v>3.675000000000006E-2</v>
      </c>
      <c r="G27" s="1">
        <v>43466</v>
      </c>
      <c r="H27" s="2">
        <v>285.42787842375003</v>
      </c>
      <c r="I27" s="5">
        <f t="shared" si="6"/>
        <v>3.4729346230660152E-2</v>
      </c>
      <c r="J27" s="5">
        <f t="shared" si="3"/>
        <v>3.6850000000000049E-2</v>
      </c>
      <c r="K27" s="7">
        <f t="shared" si="4"/>
        <v>9.9999999999988987E-5</v>
      </c>
      <c r="M27" s="7">
        <f t="shared" si="7"/>
        <v>9.9999581640641821E-5</v>
      </c>
    </row>
    <row r="28" spans="1:15" x14ac:dyDescent="0.25">
      <c r="A28">
        <f t="shared" si="0"/>
        <v>2.0833333333333326</v>
      </c>
      <c r="B28" s="1">
        <v>43497</v>
      </c>
      <c r="C28" s="2">
        <v>287.17676705394177</v>
      </c>
      <c r="D28" s="2">
        <f t="shared" si="1"/>
        <v>6.3213542296471914E-3</v>
      </c>
      <c r="E28" s="5">
        <f t="shared" si="5"/>
        <v>3.4641172035695167E-2</v>
      </c>
      <c r="F28" s="5">
        <f t="shared" si="2"/>
        <v>3.8390467886434188E-2</v>
      </c>
      <c r="G28" s="1">
        <v>43497</v>
      </c>
      <c r="H28" s="2">
        <v>287.2344822146091</v>
      </c>
      <c r="I28" s="5">
        <f t="shared" si="6"/>
        <v>3.4741171642141078E-2</v>
      </c>
      <c r="J28" s="5">
        <f t="shared" si="3"/>
        <v>3.8490633774423744E-2</v>
      </c>
      <c r="K28" s="7">
        <f t="shared" si="4"/>
        <v>1.0016588798955617E-4</v>
      </c>
      <c r="M28" s="7">
        <f t="shared" si="7"/>
        <v>9.9999606445910771E-5</v>
      </c>
    </row>
    <row r="29" spans="1:15" x14ac:dyDescent="0.25">
      <c r="A29">
        <f t="shared" si="0"/>
        <v>2.1666666666666661</v>
      </c>
      <c r="B29" s="1">
        <v>43525</v>
      </c>
      <c r="C29" s="2">
        <v>288.43420550348816</v>
      </c>
      <c r="D29" s="2">
        <f t="shared" si="1"/>
        <v>4.3786217891024215E-3</v>
      </c>
      <c r="E29" s="5">
        <f t="shared" si="5"/>
        <v>3.4652997557530041E-2</v>
      </c>
      <c r="F29" s="5">
        <f t="shared" si="2"/>
        <v>3.8979996640387204E-2</v>
      </c>
      <c r="G29" s="1">
        <v>43525</v>
      </c>
      <c r="H29" s="2">
        <v>288.49449658808385</v>
      </c>
      <c r="I29" s="5">
        <f t="shared" si="6"/>
        <v>3.4752997188769008E-2</v>
      </c>
      <c r="J29" s="5">
        <f t="shared" si="3"/>
        <v>3.9080226467169243E-2</v>
      </c>
      <c r="K29" s="7">
        <f t="shared" si="4"/>
        <v>1.0022982678203896E-4</v>
      </c>
      <c r="M29" s="7">
        <f t="shared" si="7"/>
        <v>9.9999631238967268E-5</v>
      </c>
    </row>
    <row r="30" spans="1:15" x14ac:dyDescent="0.25">
      <c r="A30">
        <f t="shared" si="0"/>
        <v>2.2499999999999996</v>
      </c>
      <c r="B30" s="1">
        <v>43556</v>
      </c>
      <c r="C30" s="2">
        <v>290.46952426234617</v>
      </c>
      <c r="D30" s="2">
        <f t="shared" si="1"/>
        <v>7.0564403251174301E-3</v>
      </c>
      <c r="E30" s="5">
        <f t="shared" si="5"/>
        <v>3.4664823214525686E-2</v>
      </c>
      <c r="F30" s="5">
        <f t="shared" si="2"/>
        <v>4.075703376970341E-2</v>
      </c>
      <c r="G30" s="1">
        <v>43556</v>
      </c>
      <c r="H30" s="2">
        <v>290.5325804108918</v>
      </c>
      <c r="I30" s="5">
        <f t="shared" si="6"/>
        <v>3.4764822870545276E-2</v>
      </c>
      <c r="J30" s="5">
        <f t="shared" si="3"/>
        <v>4.085744158496718E-2</v>
      </c>
      <c r="K30" s="7">
        <f t="shared" si="4"/>
        <v>1.0040781526376996E-4</v>
      </c>
      <c r="M30" s="7">
        <f t="shared" si="7"/>
        <v>9.9999656019589267E-5</v>
      </c>
    </row>
    <row r="31" spans="1:15" x14ac:dyDescent="0.25">
      <c r="A31">
        <f t="shared" si="0"/>
        <v>2.333333333333333</v>
      </c>
      <c r="B31" s="1">
        <v>43586</v>
      </c>
      <c r="C31" s="2">
        <v>291.51668979800945</v>
      </c>
      <c r="D31" s="2">
        <f t="shared" si="1"/>
        <v>3.6050788402761658E-3</v>
      </c>
      <c r="E31" s="5">
        <f t="shared" si="5"/>
        <v>3.467664900668388E-2</v>
      </c>
      <c r="F31" s="5">
        <f t="shared" si="2"/>
        <v>4.0877277442460391E-2</v>
      </c>
      <c r="G31" s="1">
        <v>43586</v>
      </c>
      <c r="H31" s="2">
        <v>291.58232134588718</v>
      </c>
      <c r="I31" s="5">
        <f t="shared" si="6"/>
        <v>3.4776648687471212E-2</v>
      </c>
      <c r="J31" s="5">
        <f t="shared" si="3"/>
        <v>4.0977702949239081E-2</v>
      </c>
      <c r="K31" s="7">
        <f t="shared" si="4"/>
        <v>1.0042550677868967E-4</v>
      </c>
      <c r="M31" s="7">
        <f t="shared" si="7"/>
        <v>9.9999680787332679E-5</v>
      </c>
    </row>
    <row r="32" spans="1:15" x14ac:dyDescent="0.25">
      <c r="A32">
        <f t="shared" si="0"/>
        <v>2.4166666666666665</v>
      </c>
      <c r="B32" s="1">
        <v>43617</v>
      </c>
      <c r="C32" s="2">
        <v>292.0182657962456</v>
      </c>
      <c r="D32" s="2">
        <f t="shared" si="1"/>
        <v>1.7205738669154869E-3</v>
      </c>
      <c r="E32" s="5">
        <f t="shared" si="5"/>
        <v>3.4688474934005953E-2</v>
      </c>
      <c r="F32" s="5">
        <f t="shared" si="2"/>
        <v>4.0179952898180549E-2</v>
      </c>
      <c r="G32" s="1">
        <v>43617</v>
      </c>
      <c r="H32" s="2">
        <v>292.08636240397601</v>
      </c>
      <c r="I32" s="5">
        <f t="shared" si="6"/>
        <v>3.4788474639548816E-2</v>
      </c>
      <c r="J32" s="5">
        <f t="shared" si="3"/>
        <v>4.0280316793024351E-2</v>
      </c>
      <c r="K32" s="7">
        <f t="shared" si="4"/>
        <v>1.0036389484380237E-4</v>
      </c>
      <c r="M32" s="7">
        <f t="shared" si="7"/>
        <v>9.9999705542863637E-5</v>
      </c>
    </row>
    <row r="33" spans="1:13" x14ac:dyDescent="0.25">
      <c r="A33">
        <f t="shared" si="0"/>
        <v>2.5</v>
      </c>
      <c r="B33" s="1">
        <v>43647</v>
      </c>
      <c r="C33" s="2">
        <v>291.75166649602784</v>
      </c>
      <c r="D33" s="2">
        <f t="shared" si="1"/>
        <v>-9.1295419309067594E-4</v>
      </c>
      <c r="E33" s="5">
        <f t="shared" si="5"/>
        <v>3.4700300996493461E-2</v>
      </c>
      <c r="F33" s="5">
        <f t="shared" si="2"/>
        <v>3.8435503551853323E-2</v>
      </c>
      <c r="G33" s="1">
        <v>43647</v>
      </c>
      <c r="H33" s="2">
        <v>291.82205094213316</v>
      </c>
      <c r="I33" s="5">
        <f t="shared" si="6"/>
        <v>3.4800300726779421E-2</v>
      </c>
      <c r="J33" s="5">
        <f t="shared" si="3"/>
        <v>3.8535704410306293E-2</v>
      </c>
      <c r="K33" s="7">
        <f t="shared" si="4"/>
        <v>1.0020085845297011E-4</v>
      </c>
      <c r="M33" s="7">
        <f t="shared" si="7"/>
        <v>9.9999730285960098E-5</v>
      </c>
    </row>
    <row r="34" spans="1:13" x14ac:dyDescent="0.25">
      <c r="A34">
        <f t="shared" si="0"/>
        <v>2.5833333333333335</v>
      </c>
      <c r="B34" s="1">
        <v>43678</v>
      </c>
      <c r="C34" s="2">
        <v>292.93302426314989</v>
      </c>
      <c r="D34" s="2">
        <f t="shared" si="1"/>
        <v>4.0491894401506467E-3</v>
      </c>
      <c r="E34" s="5">
        <f t="shared" si="5"/>
        <v>3.4712127194147957E-2</v>
      </c>
      <c r="F34" s="5">
        <f t="shared" si="2"/>
        <v>3.8796570218873061E-2</v>
      </c>
      <c r="G34" s="1">
        <v>43678</v>
      </c>
      <c r="H34" s="2">
        <v>293.00605325129618</v>
      </c>
      <c r="I34" s="5">
        <f t="shared" si="6"/>
        <v>3.4812126949164135E-2</v>
      </c>
      <c r="J34" s="5">
        <f t="shared" si="3"/>
        <v>3.8896810858847219E-2</v>
      </c>
      <c r="K34" s="7">
        <f t="shared" si="4"/>
        <v>1.0024063997415844E-4</v>
      </c>
      <c r="M34" s="7">
        <f t="shared" si="7"/>
        <v>9.9999755016177971E-5</v>
      </c>
    </row>
    <row r="35" spans="1:13" x14ac:dyDescent="0.25">
      <c r="A35">
        <f t="shared" si="0"/>
        <v>2.666666666666667</v>
      </c>
      <c r="B35" s="1">
        <v>43709</v>
      </c>
      <c r="C35" s="2">
        <v>294.31261993182193</v>
      </c>
      <c r="D35" s="2">
        <f t="shared" si="1"/>
        <v>4.7095941884405246E-3</v>
      </c>
      <c r="E35" s="5">
        <f t="shared" si="5"/>
        <v>3.4723953526970996E-2</v>
      </c>
      <c r="F35" s="5">
        <f t="shared" si="2"/>
        <v>3.9391437421967934E-2</v>
      </c>
      <c r="G35" s="1">
        <v>43709</v>
      </c>
      <c r="H35" s="2">
        <v>294.38836353052778</v>
      </c>
      <c r="I35" s="5">
        <f t="shared" si="6"/>
        <v>3.482395330670518E-2</v>
      </c>
      <c r="J35" s="5">
        <f t="shared" si="3"/>
        <v>3.9491740100019657E-2</v>
      </c>
      <c r="K35" s="7">
        <f t="shared" si="4"/>
        <v>1.0030267805172244E-4</v>
      </c>
      <c r="M35" s="7">
        <f t="shared" si="7"/>
        <v>9.9999779734183392E-5</v>
      </c>
    </row>
    <row r="36" spans="1:13" x14ac:dyDescent="0.25">
      <c r="A36">
        <f t="shared" si="0"/>
        <v>2.7500000000000004</v>
      </c>
      <c r="B36" s="1">
        <v>43739</v>
      </c>
      <c r="C36" s="2">
        <v>294.72301796304527</v>
      </c>
      <c r="D36" s="2">
        <f t="shared" si="1"/>
        <v>1.3944289283904787E-3</v>
      </c>
      <c r="E36" s="5">
        <f t="shared" si="5"/>
        <v>3.4735779994964133E-2</v>
      </c>
      <c r="F36" s="5">
        <f t="shared" si="2"/>
        <v>3.8701450967904227E-2</v>
      </c>
      <c r="G36" s="1">
        <v>43739</v>
      </c>
      <c r="H36" s="2">
        <v>294.80124117933121</v>
      </c>
      <c r="I36" s="5">
        <f t="shared" si="6"/>
        <v>3.4835779799403888E-2</v>
      </c>
      <c r="J36" s="5">
        <f t="shared" si="3"/>
        <v>3.8801691412758021E-2</v>
      </c>
      <c r="K36" s="7">
        <f t="shared" si="4"/>
        <v>1.0024044485379413E-4</v>
      </c>
      <c r="M36" s="7">
        <f t="shared" si="7"/>
        <v>9.9999804439754314E-5</v>
      </c>
    </row>
    <row r="37" spans="1:13" x14ac:dyDescent="0.25">
      <c r="A37">
        <f t="shared" si="0"/>
        <v>2.8333333333333339</v>
      </c>
      <c r="B37" s="1">
        <v>43770</v>
      </c>
      <c r="C37" s="2">
        <v>295.21935279978175</v>
      </c>
      <c r="D37" s="2">
        <f t="shared" si="1"/>
        <v>1.6840721846798079E-3</v>
      </c>
      <c r="E37" s="5">
        <f t="shared" si="5"/>
        <v>3.4747606598129366E-2</v>
      </c>
      <c r="F37" s="5">
        <f t="shared" si="2"/>
        <v>3.8158429714915565E-2</v>
      </c>
      <c r="G37" s="1">
        <v>43770</v>
      </c>
      <c r="H37" s="2">
        <v>295.30008576526006</v>
      </c>
      <c r="I37" s="5">
        <f t="shared" si="6"/>
        <v>3.4847606427261812E-2</v>
      </c>
      <c r="J37" s="5">
        <f t="shared" si="3"/>
        <v>3.8258621848530128E-2</v>
      </c>
      <c r="K37" s="7">
        <f t="shared" si="4"/>
        <v>1.0019213361456281E-4</v>
      </c>
      <c r="M37" s="7">
        <f t="shared" si="7"/>
        <v>9.9999829132446649E-5</v>
      </c>
    </row>
    <row r="38" spans="1:13" x14ac:dyDescent="0.25">
      <c r="A38">
        <f t="shared" si="0"/>
        <v>2.9166666666666674</v>
      </c>
      <c r="B38" s="1">
        <v>43800</v>
      </c>
      <c r="C38" s="2">
        <v>296.37638473240884</v>
      </c>
      <c r="D38" s="2">
        <f t="shared" si="1"/>
        <v>3.9192279288404741E-3</v>
      </c>
      <c r="E38" s="5">
        <f t="shared" si="5"/>
        <v>3.475943333646736E-2</v>
      </c>
      <c r="F38" s="5">
        <f t="shared" si="2"/>
        <v>3.8439969295888998E-2</v>
      </c>
      <c r="G38" s="1">
        <v>43800</v>
      </c>
      <c r="H38" s="2">
        <v>296.45982146364031</v>
      </c>
      <c r="I38" s="5">
        <f t="shared" si="6"/>
        <v>3.4859433190280509E-2</v>
      </c>
      <c r="J38" s="5">
        <f t="shared" si="3"/>
        <v>3.8540192461205436E-2</v>
      </c>
      <c r="K38" s="7">
        <f t="shared" si="4"/>
        <v>1.002231653164376E-4</v>
      </c>
      <c r="M38" s="7">
        <f t="shared" si="7"/>
        <v>9.9999853813148576E-5</v>
      </c>
    </row>
    <row r="39" spans="1:13" x14ac:dyDescent="0.25">
      <c r="A39">
        <f t="shared" si="0"/>
        <v>3.0000000000000009</v>
      </c>
      <c r="B39" s="1">
        <v>43831</v>
      </c>
      <c r="C39" s="2">
        <v>295.29559707586287</v>
      </c>
      <c r="D39" s="2">
        <f t="shared" si="1"/>
        <v>-3.6466726507976555E-3</v>
      </c>
      <c r="E39" s="5">
        <f t="shared" si="5"/>
        <v>3.4771260209977894E-2</v>
      </c>
      <c r="F39" s="5">
        <f t="shared" si="2"/>
        <v>3.6089999999999955E-2</v>
      </c>
      <c r="G39" s="1">
        <v>43831</v>
      </c>
      <c r="H39" s="2">
        <v>295.38110820876238</v>
      </c>
      <c r="I39" s="5">
        <f t="shared" si="6"/>
        <v>3.4871260088461531E-2</v>
      </c>
      <c r="J39" s="5">
        <f t="shared" si="3"/>
        <v>3.6189999999999944E-2</v>
      </c>
      <c r="K39" s="7">
        <f t="shared" si="4"/>
        <v>9.9999999999988987E-5</v>
      </c>
      <c r="M39" s="7">
        <f t="shared" si="7"/>
        <v>9.9999878483636451E-5</v>
      </c>
    </row>
    <row r="40" spans="1:13" x14ac:dyDescent="0.25">
      <c r="A40">
        <f t="shared" si="0"/>
        <v>3.0833333333333344</v>
      </c>
      <c r="B40" s="1">
        <v>43862</v>
      </c>
      <c r="C40" s="2">
        <v>297.14216553741682</v>
      </c>
      <c r="D40" s="2">
        <f t="shared" si="1"/>
        <v>6.2532881622328063E-3</v>
      </c>
      <c r="E40" s="5">
        <f t="shared" si="5"/>
        <v>3.4701269833583792E-2</v>
      </c>
      <c r="F40" s="5">
        <f t="shared" si="2"/>
        <v>3.7192532242856124E-2</v>
      </c>
      <c r="G40" s="1">
        <v>43862</v>
      </c>
      <c r="H40" s="2">
        <v>297.23060690049846</v>
      </c>
      <c r="I40" s="5">
        <f t="shared" si="6"/>
        <v>3.480126971113684E-2</v>
      </c>
      <c r="J40" s="5">
        <f t="shared" si="3"/>
        <v>3.7292644299069089E-2</v>
      </c>
      <c r="K40" s="7">
        <f t="shared" si="4"/>
        <v>1.0011205621296426E-4</v>
      </c>
      <c r="M40" s="7">
        <f t="shared" si="7"/>
        <v>9.9999877553047511E-5</v>
      </c>
    </row>
    <row r="41" spans="1:13" x14ac:dyDescent="0.25">
      <c r="A41">
        <f t="shared" si="0"/>
        <v>3.1666666666666679</v>
      </c>
      <c r="B41" s="1">
        <v>43891</v>
      </c>
      <c r="C41" s="2">
        <v>298.42305244475216</v>
      </c>
      <c r="D41" s="2">
        <f t="shared" si="1"/>
        <v>4.3106871251972212E-3</v>
      </c>
      <c r="E41" s="5">
        <f t="shared" si="5"/>
        <v>3.4631284191233735E-2</v>
      </c>
      <c r="F41" s="5">
        <f t="shared" si="2"/>
        <v>3.7604747992419307E-2</v>
      </c>
      <c r="G41" s="1">
        <v>43891</v>
      </c>
      <c r="H41" s="2">
        <v>298.51428090096584</v>
      </c>
      <c r="I41" s="5">
        <f t="shared" si="6"/>
        <v>3.4731284067399004E-2</v>
      </c>
      <c r="J41" s="5">
        <f t="shared" si="3"/>
        <v>3.7704905185112381E-2</v>
      </c>
      <c r="K41" s="7">
        <f t="shared" si="4"/>
        <v>1.0015719269307333E-4</v>
      </c>
      <c r="M41" s="7">
        <f t="shared" si="7"/>
        <v>9.9999876165268731E-5</v>
      </c>
    </row>
    <row r="42" spans="1:13" x14ac:dyDescent="0.25">
      <c r="A42">
        <f t="shared" si="0"/>
        <v>3.2500000000000013</v>
      </c>
      <c r="B42" s="1">
        <v>43922</v>
      </c>
      <c r="C42" s="2">
        <v>300.50852958473189</v>
      </c>
      <c r="D42" s="2">
        <f t="shared" si="1"/>
        <v>6.9883245375819136E-3</v>
      </c>
      <c r="E42" s="5">
        <f t="shared" si="5"/>
        <v>3.4561303282607758E-2</v>
      </c>
      <c r="F42" s="5">
        <f t="shared" si="2"/>
        <v>3.884671346055435E-2</v>
      </c>
      <c r="G42" s="1">
        <v>43922</v>
      </c>
      <c r="H42" s="2">
        <v>300.60281825747819</v>
      </c>
      <c r="I42" s="5">
        <f t="shared" si="6"/>
        <v>3.4661303156927614E-2</v>
      </c>
      <c r="J42" s="5">
        <f t="shared" si="3"/>
        <v>3.8946995617148872E-2</v>
      </c>
      <c r="K42" s="7">
        <f t="shared" si="4"/>
        <v>1.0028215659452222E-4</v>
      </c>
      <c r="M42" s="7">
        <f t="shared" si="7"/>
        <v>9.9999874319856019E-5</v>
      </c>
    </row>
    <row r="43" spans="1:13" x14ac:dyDescent="0.25">
      <c r="A43">
        <f t="shared" si="0"/>
        <v>3.3333333333333348</v>
      </c>
      <c r="B43" s="1">
        <v>43952</v>
      </c>
      <c r="C43" s="2">
        <v>301.57148730309478</v>
      </c>
      <c r="D43" s="2">
        <f t="shared" si="1"/>
        <v>3.5371964976560477E-3</v>
      </c>
      <c r="E43" s="5">
        <f t="shared" si="5"/>
        <v>3.449132710738545E-2</v>
      </c>
      <c r="F43" s="5">
        <f t="shared" si="2"/>
        <v>3.8957364202579559E-2</v>
      </c>
      <c r="G43" s="1">
        <v>43952</v>
      </c>
      <c r="H43" s="2">
        <v>301.66854076497617</v>
      </c>
      <c r="I43" s="5">
        <f t="shared" si="6"/>
        <v>3.4591326979403147E-2</v>
      </c>
      <c r="J43" s="5">
        <f t="shared" si="3"/>
        <v>3.9057661867350602E-2</v>
      </c>
      <c r="K43" s="7">
        <f t="shared" si="4"/>
        <v>1.0029766477104296E-4</v>
      </c>
      <c r="M43" s="7">
        <f t="shared" si="7"/>
        <v>9.9999872017697555E-5</v>
      </c>
    </row>
    <row r="44" spans="1:13" x14ac:dyDescent="0.25">
      <c r="A44">
        <f t="shared" si="0"/>
        <v>3.4166666666666683</v>
      </c>
      <c r="B44" s="1">
        <v>43983</v>
      </c>
      <c r="C44" s="2">
        <v>302.06993038396666</v>
      </c>
      <c r="D44" s="2">
        <f t="shared" si="1"/>
        <v>1.6528189893858514E-3</v>
      </c>
      <c r="E44" s="5">
        <f t="shared" si="5"/>
        <v>3.4421355665246622E-2</v>
      </c>
      <c r="F44" s="5">
        <f t="shared" si="2"/>
        <v>3.849119942631285E-2</v>
      </c>
      <c r="G44" s="1">
        <v>43983</v>
      </c>
      <c r="H44" s="2">
        <v>302.16957956730391</v>
      </c>
      <c r="I44" s="5">
        <f t="shared" si="6"/>
        <v>3.4521355534504972E-2</v>
      </c>
      <c r="J44" s="5">
        <f t="shared" si="3"/>
        <v>3.8591456678310099E-2</v>
      </c>
      <c r="K44" s="7">
        <f t="shared" si="4"/>
        <v>1.0025725199724889E-4</v>
      </c>
      <c r="M44" s="7">
        <f t="shared" si="7"/>
        <v>9.999986925834925E-5</v>
      </c>
    </row>
    <row r="45" spans="1:13" x14ac:dyDescent="0.25">
      <c r="A45">
        <f t="shared" si="0"/>
        <v>3.5000000000000018</v>
      </c>
      <c r="B45" s="1">
        <v>44013</v>
      </c>
      <c r="C45" s="2">
        <v>301.77374147035647</v>
      </c>
      <c r="D45" s="2">
        <f t="shared" si="1"/>
        <v>-9.8053094273142793E-4</v>
      </c>
      <c r="E45" s="5">
        <f t="shared" si="5"/>
        <v>3.4351388955871087E-2</v>
      </c>
      <c r="F45" s="5">
        <f t="shared" si="2"/>
        <v>3.7266970931266963E-2</v>
      </c>
      <c r="G45" s="1">
        <v>44013</v>
      </c>
      <c r="H45" s="2">
        <v>301.87572588594867</v>
      </c>
      <c r="I45" s="5">
        <f t="shared" si="6"/>
        <v>3.4451388821912898E-2</v>
      </c>
      <c r="J45" s="5">
        <f t="shared" si="3"/>
        <v>3.7367114360310483E-2</v>
      </c>
      <c r="K45" s="7">
        <f t="shared" si="4"/>
        <v>1.0014342904351992E-4</v>
      </c>
      <c r="M45" s="7">
        <f t="shared" si="7"/>
        <v>9.9999866041811103E-5</v>
      </c>
    </row>
    <row r="46" spans="1:13" x14ac:dyDescent="0.25">
      <c r="A46">
        <f t="shared" si="0"/>
        <v>3.5833333333333353</v>
      </c>
      <c r="B46" s="1">
        <v>44044</v>
      </c>
      <c r="C46" s="2">
        <v>302.97518634414689</v>
      </c>
      <c r="D46" s="2">
        <f t="shared" si="1"/>
        <v>3.9812770585556656E-3</v>
      </c>
      <c r="E46" s="5">
        <f t="shared" si="5"/>
        <v>3.4281426978939322E-2</v>
      </c>
      <c r="F46" s="5">
        <f t="shared" si="2"/>
        <v>3.7534551119617898E-2</v>
      </c>
      <c r="G46" s="1">
        <v>44044</v>
      </c>
      <c r="H46" s="2">
        <v>303.08001943521583</v>
      </c>
      <c r="I46" s="5">
        <f t="shared" si="6"/>
        <v>3.4381426841307405E-2</v>
      </c>
      <c r="J46" s="5">
        <f t="shared" si="3"/>
        <v>3.7634724545950737E-2</v>
      </c>
      <c r="K46" s="7">
        <f t="shared" si="4"/>
        <v>1.001734263328391E-4</v>
      </c>
      <c r="M46" s="7">
        <f t="shared" si="7"/>
        <v>9.9999862368083114E-5</v>
      </c>
    </row>
    <row r="47" spans="1:13" x14ac:dyDescent="0.25">
      <c r="A47">
        <f t="shared" si="0"/>
        <v>3.6666666666666687</v>
      </c>
      <c r="B47" s="1">
        <v>44075</v>
      </c>
      <c r="C47" s="2">
        <v>304.38148722099208</v>
      </c>
      <c r="D47" s="2">
        <f t="shared" si="1"/>
        <v>4.6416371380584298E-3</v>
      </c>
      <c r="E47" s="5">
        <f t="shared" si="5"/>
        <v>3.4211469734130473E-2</v>
      </c>
      <c r="F47" s="5">
        <f t="shared" si="2"/>
        <v>3.7976151408452452E-2</v>
      </c>
      <c r="G47" s="1">
        <v>44075</v>
      </c>
      <c r="H47" s="2">
        <v>304.48926091415251</v>
      </c>
      <c r="I47" s="5">
        <f t="shared" si="6"/>
        <v>3.4311469592368082E-2</v>
      </c>
      <c r="J47" s="5">
        <f t="shared" si="3"/>
        <v>3.8076371447134827E-2</v>
      </c>
      <c r="K47" s="7">
        <f t="shared" si="4"/>
        <v>1.0022003868237483E-4</v>
      </c>
      <c r="M47" s="7">
        <f t="shared" si="7"/>
        <v>9.9999858237609374E-5</v>
      </c>
    </row>
    <row r="48" spans="1:13" x14ac:dyDescent="0.25">
      <c r="A48">
        <f t="shared" si="0"/>
        <v>3.7500000000000022</v>
      </c>
      <c r="B48" s="1">
        <v>44105</v>
      </c>
      <c r="C48" s="2">
        <v>304.78530895629245</v>
      </c>
      <c r="D48" s="2">
        <f t="shared" si="1"/>
        <v>1.326696110815595E-3</v>
      </c>
      <c r="E48" s="5">
        <f t="shared" si="5"/>
        <v>3.4141517221124795E-2</v>
      </c>
      <c r="F48" s="5">
        <f t="shared" si="2"/>
        <v>3.7483506314778925E-2</v>
      </c>
      <c r="G48" s="1">
        <v>44105</v>
      </c>
      <c r="H48" s="2">
        <v>304.8956829128382</v>
      </c>
      <c r="I48" s="5">
        <f t="shared" si="6"/>
        <v>3.4241517074775185E-2</v>
      </c>
      <c r="J48" s="5">
        <f t="shared" si="3"/>
        <v>3.7583682584496181E-2</v>
      </c>
      <c r="K48" s="7">
        <f t="shared" si="4"/>
        <v>1.0017626971725591E-4</v>
      </c>
      <c r="M48" s="7">
        <f t="shared" si="7"/>
        <v>9.999985365038988E-5</v>
      </c>
    </row>
    <row r="49" spans="1:13" x14ac:dyDescent="0.25">
      <c r="A49">
        <f t="shared" si="0"/>
        <v>3.8333333333333357</v>
      </c>
      <c r="B49" s="1">
        <v>44136</v>
      </c>
      <c r="C49" s="2">
        <v>305.27793947861386</v>
      </c>
      <c r="D49" s="2">
        <f t="shared" si="1"/>
        <v>1.6163197760692416E-3</v>
      </c>
      <c r="E49" s="5">
        <f t="shared" si="5"/>
        <v>3.4071569439601879E-2</v>
      </c>
      <c r="F49" s="5">
        <f t="shared" si="2"/>
        <v>3.7090737635899762E-2</v>
      </c>
      <c r="G49" s="1">
        <v>44136</v>
      </c>
      <c r="H49" s="2">
        <v>305.39095310680148</v>
      </c>
      <c r="I49" s="5">
        <f t="shared" si="6"/>
        <v>3.4171569288208303E-2</v>
      </c>
      <c r="J49" s="5">
        <f t="shared" si="3"/>
        <v>3.719087961212697E-2</v>
      </c>
      <c r="K49" s="7">
        <f t="shared" si="4"/>
        <v>1.0014197622720822E-4</v>
      </c>
      <c r="M49" s="7">
        <f t="shared" si="7"/>
        <v>9.9999848606424635E-5</v>
      </c>
    </row>
    <row r="50" spans="1:13" x14ac:dyDescent="0.25">
      <c r="A50">
        <f t="shared" si="0"/>
        <v>3.9166666666666692</v>
      </c>
      <c r="B50" s="1">
        <v>44166</v>
      </c>
      <c r="C50" s="2">
        <v>306.45366383667459</v>
      </c>
      <c r="D50" s="2">
        <f t="shared" si="1"/>
        <v>3.8513243376470108E-3</v>
      </c>
      <c r="E50" s="5">
        <f t="shared" si="5"/>
        <v>3.4001626389242423E-2</v>
      </c>
      <c r="F50" s="5">
        <f t="shared" si="2"/>
        <v>3.7304967500564334E-2</v>
      </c>
      <c r="G50" s="1">
        <v>44166</v>
      </c>
      <c r="H50" s="2">
        <v>306.5695834881019</v>
      </c>
      <c r="I50" s="5">
        <f t="shared" si="6"/>
        <v>3.4101626232347693E-2</v>
      </c>
      <c r="J50" s="5">
        <f t="shared" si="3"/>
        <v>3.740513364020015E-2</v>
      </c>
      <c r="K50" s="7">
        <f t="shared" si="4"/>
        <v>1.0016613963581555E-4</v>
      </c>
      <c r="M50" s="7">
        <f t="shared" si="7"/>
        <v>9.9999843105269548E-5</v>
      </c>
    </row>
    <row r="51" spans="1:13" x14ac:dyDescent="0.25">
      <c r="A51">
        <f t="shared" si="0"/>
        <v>4.0000000000000027</v>
      </c>
      <c r="B51" s="1">
        <v>44197</v>
      </c>
      <c r="C51" s="2">
        <v>305.31547516420477</v>
      </c>
      <c r="D51" s="2">
        <f t="shared" si="1"/>
        <v>-3.7140644958202351E-3</v>
      </c>
      <c r="E51" s="5">
        <f t="shared" si="5"/>
        <v>3.3931688069726684E-2</v>
      </c>
      <c r="F51" s="5">
        <f t="shared" si="2"/>
        <v>3.5549999999999971E-2</v>
      </c>
      <c r="G51" s="1">
        <v>44197</v>
      </c>
      <c r="H51" s="2">
        <v>305.433425896909</v>
      </c>
      <c r="I51" s="5">
        <f t="shared" si="6"/>
        <v>3.4031687906872055E-2</v>
      </c>
      <c r="J51" s="5">
        <f t="shared" si="3"/>
        <v>3.5649999999999959E-2</v>
      </c>
      <c r="K51" s="7">
        <f t="shared" si="4"/>
        <v>9.9999999999988987E-5</v>
      </c>
      <c r="M51" s="7">
        <f t="shared" si="7"/>
        <v>9.9999837145370307E-5</v>
      </c>
    </row>
    <row r="52" spans="1:13" x14ac:dyDescent="0.25">
      <c r="A52">
        <f t="shared" si="0"/>
        <v>4.0833333333333357</v>
      </c>
      <c r="B52" s="1">
        <v>44228</v>
      </c>
      <c r="C52" s="2">
        <v>307.20910309303503</v>
      </c>
      <c r="D52" s="2">
        <f t="shared" si="1"/>
        <v>6.2022009457982641E-3</v>
      </c>
      <c r="E52" s="5">
        <f t="shared" si="5"/>
        <v>3.3879195628163217E-2</v>
      </c>
      <c r="F52" s="5">
        <f t="shared" si="2"/>
        <v>3.6380122373158796E-2</v>
      </c>
      <c r="G52" s="1">
        <v>44228</v>
      </c>
      <c r="H52" s="2">
        <v>307.33026379042491</v>
      </c>
      <c r="I52" s="5">
        <f t="shared" si="6"/>
        <v>3.3979195464575618E-2</v>
      </c>
      <c r="J52" s="5">
        <f t="shared" si="3"/>
        <v>3.6480206975305407E-2</v>
      </c>
      <c r="K52" s="7">
        <f t="shared" si="4"/>
        <v>1.0008460214661064E-4</v>
      </c>
      <c r="M52" s="7">
        <f t="shared" si="7"/>
        <v>9.9999836412401066E-5</v>
      </c>
    </row>
    <row r="53" spans="1:13" x14ac:dyDescent="0.25">
      <c r="A53">
        <f t="shared" si="0"/>
        <v>4.1666666666666687</v>
      </c>
      <c r="B53" s="1">
        <v>44256</v>
      </c>
      <c r="C53" s="2">
        <v>308.5177212591455</v>
      </c>
      <c r="D53" s="2">
        <f t="shared" si="1"/>
        <v>4.2596985341094573E-3</v>
      </c>
      <c r="E53" s="5">
        <f t="shared" si="5"/>
        <v>3.3826705851627281E-2</v>
      </c>
      <c r="F53" s="5">
        <f t="shared" si="2"/>
        <v>3.6696760617372481E-2</v>
      </c>
      <c r="G53" s="1">
        <v>44256</v>
      </c>
      <c r="H53" s="2">
        <v>308.64188705247386</v>
      </c>
      <c r="I53" s="5">
        <f t="shared" si="6"/>
        <v>3.3926705687048697E-2</v>
      </c>
      <c r="J53" s="5">
        <f t="shared" si="3"/>
        <v>3.6796880061093384E-2</v>
      </c>
      <c r="K53" s="7">
        <f t="shared" si="4"/>
        <v>1.0011944372090298E-4</v>
      </c>
      <c r="M53" s="7">
        <f t="shared" si="7"/>
        <v>9.9999835421415995E-5</v>
      </c>
    </row>
    <row r="54" spans="1:13" x14ac:dyDescent="0.25">
      <c r="A54">
        <f t="shared" si="0"/>
        <v>4.2500000000000018</v>
      </c>
      <c r="B54" s="1">
        <v>44287</v>
      </c>
      <c r="C54" s="2">
        <v>310.65797039615745</v>
      </c>
      <c r="D54" s="2">
        <f t="shared" si="1"/>
        <v>6.9372000035428094E-3</v>
      </c>
      <c r="E54" s="5">
        <f t="shared" si="5"/>
        <v>3.3774218739983652E-2</v>
      </c>
      <c r="F54" s="5">
        <f t="shared" si="2"/>
        <v>3.7650950602132527E-2</v>
      </c>
      <c r="G54" s="1">
        <v>44287</v>
      </c>
      <c r="H54" s="2">
        <v>310.78550382713934</v>
      </c>
      <c r="I54" s="5">
        <f t="shared" si="6"/>
        <v>3.3874218574156068E-2</v>
      </c>
      <c r="J54" s="5">
        <f t="shared" si="3"/>
        <v>3.7751166297146588E-2</v>
      </c>
      <c r="K54" s="7">
        <f t="shared" si="4"/>
        <v>1.0021569501406091E-4</v>
      </c>
      <c r="M54" s="7">
        <f t="shared" si="7"/>
        <v>9.9999834172415092E-5</v>
      </c>
    </row>
    <row r="55" spans="1:13" x14ac:dyDescent="0.25">
      <c r="A55">
        <f t="shared" si="0"/>
        <v>4.3333333333333348</v>
      </c>
      <c r="B55" s="1">
        <v>44317</v>
      </c>
      <c r="C55" s="2">
        <v>311.74100086830373</v>
      </c>
      <c r="D55" s="2">
        <f t="shared" si="1"/>
        <v>3.4862471764853797E-3</v>
      </c>
      <c r="E55" s="5">
        <f t="shared" si="5"/>
        <v>3.3721734293096661E-2</v>
      </c>
      <c r="F55" s="5">
        <f t="shared" si="2"/>
        <v>3.7746793159347147E-2</v>
      </c>
      <c r="G55" s="1">
        <v>44317</v>
      </c>
      <c r="H55" s="2">
        <v>311.87149394483606</v>
      </c>
      <c r="I55" s="5">
        <f t="shared" si="6"/>
        <v>3.3821734125762948E-2</v>
      </c>
      <c r="J55" s="5">
        <f t="shared" si="3"/>
        <v>3.7847022053427049E-2</v>
      </c>
      <c r="K55" s="7">
        <f t="shared" si="4"/>
        <v>1.0022889407990121E-4</v>
      </c>
      <c r="M55" s="7">
        <f t="shared" si="7"/>
        <v>9.9999832666286537E-5</v>
      </c>
    </row>
    <row r="56" spans="1:13" x14ac:dyDescent="0.25">
      <c r="A56">
        <f t="shared" si="0"/>
        <v>4.4166666666666679</v>
      </c>
      <c r="B56" s="1">
        <v>44348</v>
      </c>
      <c r="C56" s="2">
        <v>312.24039914599376</v>
      </c>
      <c r="D56" s="2">
        <f t="shared" si="1"/>
        <v>1.6019653375687337E-3</v>
      </c>
      <c r="E56" s="5">
        <f t="shared" si="5"/>
        <v>3.3669252510831527E-2</v>
      </c>
      <c r="F56" s="5">
        <f t="shared" si="2"/>
        <v>3.7397471696428264E-2</v>
      </c>
      <c r="G56" s="1">
        <v>44348</v>
      </c>
      <c r="H56" s="2">
        <v>312.37362034970789</v>
      </c>
      <c r="I56" s="5">
        <f t="shared" si="6"/>
        <v>3.3769252341734113E-2</v>
      </c>
      <c r="J56" s="5">
        <f t="shared" si="3"/>
        <v>3.7497670644521364E-2</v>
      </c>
      <c r="K56" s="7">
        <f t="shared" si="4"/>
        <v>1.0019894809309982E-4</v>
      </c>
      <c r="M56" s="7">
        <f t="shared" si="7"/>
        <v>9.999983090258624E-5</v>
      </c>
    </row>
    <row r="57" spans="1:13" x14ac:dyDescent="0.25">
      <c r="A57">
        <f t="shared" si="0"/>
        <v>4.5000000000000009</v>
      </c>
      <c r="B57" s="1">
        <v>44378</v>
      </c>
      <c r="C57" s="2">
        <v>311.91840095333913</v>
      </c>
      <c r="D57" s="2">
        <f t="shared" si="1"/>
        <v>-1.0312509000607317E-3</v>
      </c>
      <c r="E57" s="5">
        <f t="shared" si="5"/>
        <v>3.3616773393052801E-2</v>
      </c>
      <c r="F57" s="5">
        <f t="shared" si="2"/>
        <v>3.6454703519799736E-2</v>
      </c>
      <c r="G57" s="1">
        <v>44378</v>
      </c>
      <c r="H57" s="2">
        <v>312.05400127685198</v>
      </c>
      <c r="I57" s="5">
        <f t="shared" si="6"/>
        <v>3.3716773221934115E-2</v>
      </c>
      <c r="J57" s="5">
        <f t="shared" si="3"/>
        <v>3.655481505769842E-2</v>
      </c>
      <c r="K57" s="7">
        <f t="shared" si="4"/>
        <v>1.0011153789868388E-4</v>
      </c>
      <c r="M57" s="7">
        <f t="shared" si="7"/>
        <v>9.9999828881314201E-5</v>
      </c>
    </row>
    <row r="58" spans="1:13" x14ac:dyDescent="0.25">
      <c r="A58">
        <f t="shared" si="0"/>
        <v>4.5833333333333339</v>
      </c>
      <c r="B58" s="1">
        <v>44409</v>
      </c>
      <c r="C58" s="2">
        <v>313.14433546394008</v>
      </c>
      <c r="D58" s="2">
        <f t="shared" si="1"/>
        <v>3.9303051915309251E-3</v>
      </c>
      <c r="E58" s="5">
        <f t="shared" si="5"/>
        <v>3.3564296939625038E-2</v>
      </c>
      <c r="F58" s="5">
        <f t="shared" si="2"/>
        <v>3.6667015119740132E-2</v>
      </c>
      <c r="G58" s="1">
        <v>44409</v>
      </c>
      <c r="H58" s="2">
        <v>313.282995153397</v>
      </c>
      <c r="I58" s="5">
        <f t="shared" si="6"/>
        <v>3.366429676622773E-2</v>
      </c>
      <c r="J58" s="5">
        <f t="shared" si="3"/>
        <v>3.6767150681738414E-2</v>
      </c>
      <c r="K58" s="7">
        <f t="shared" si="4"/>
        <v>1.0013556199828244E-4</v>
      </c>
      <c r="M58" s="7">
        <f t="shared" si="7"/>
        <v>9.9999826602692465E-5</v>
      </c>
    </row>
    <row r="59" spans="1:13" x14ac:dyDescent="0.25">
      <c r="A59">
        <f t="shared" si="0"/>
        <v>4.666666666666667</v>
      </c>
      <c r="B59" s="1">
        <v>44440</v>
      </c>
      <c r="C59" s="2">
        <v>314.58186579100169</v>
      </c>
      <c r="D59" s="2">
        <f t="shared" si="1"/>
        <v>4.5906317447250711E-3</v>
      </c>
      <c r="E59" s="5">
        <f t="shared" si="5"/>
        <v>3.3511823150413012E-2</v>
      </c>
      <c r="F59" s="5">
        <f t="shared" si="2"/>
        <v>3.7017889073726939E-2</v>
      </c>
      <c r="G59" s="1">
        <v>44440</v>
      </c>
      <c r="H59" s="2">
        <v>314.72370004962914</v>
      </c>
      <c r="I59" s="5">
        <f t="shared" si="6"/>
        <v>3.3611822974479733E-2</v>
      </c>
      <c r="J59" s="5">
        <f t="shared" si="3"/>
        <v>3.7118061920349943E-2</v>
      </c>
      <c r="K59" s="7">
        <f t="shared" si="4"/>
        <v>1.0017284662300341E-4</v>
      </c>
      <c r="M59" s="7">
        <f t="shared" si="7"/>
        <v>9.9999824066721033E-5</v>
      </c>
    </row>
    <row r="60" spans="1:13" x14ac:dyDescent="0.25">
      <c r="A60">
        <f t="shared" si="0"/>
        <v>4.75</v>
      </c>
      <c r="B60" s="1">
        <v>44470</v>
      </c>
      <c r="C60" s="2">
        <v>314.98322790079533</v>
      </c>
      <c r="D60" s="2">
        <f t="shared" si="1"/>
        <v>1.2758590161718875E-3</v>
      </c>
      <c r="E60" s="5">
        <f t="shared" si="5"/>
        <v>3.3459352025281941E-2</v>
      </c>
      <c r="F60" s="5">
        <f t="shared" si="2"/>
        <v>3.6635015803003323E-2</v>
      </c>
      <c r="G60" s="1">
        <v>44470</v>
      </c>
      <c r="H60" s="2">
        <v>315.12778441220559</v>
      </c>
      <c r="I60" s="5">
        <f t="shared" si="6"/>
        <v>3.3559351846554231E-2</v>
      </c>
      <c r="J60" s="5">
        <f t="shared" si="3"/>
        <v>3.673515493735735E-2</v>
      </c>
      <c r="K60" s="7">
        <f t="shared" si="4"/>
        <v>1.0013913435402699E-4</v>
      </c>
      <c r="M60" s="7">
        <f t="shared" si="7"/>
        <v>9.999982127228968E-5</v>
      </c>
    </row>
    <row r="61" spans="1:13" x14ac:dyDescent="0.25">
      <c r="A61">
        <f t="shared" si="0"/>
        <v>4.833333333333333</v>
      </c>
      <c r="B61" s="1">
        <v>44501</v>
      </c>
      <c r="C61" s="2">
        <v>315.47632405746299</v>
      </c>
      <c r="D61" s="2">
        <f t="shared" si="1"/>
        <v>1.5654679773076108E-3</v>
      </c>
      <c r="E61" s="5">
        <f t="shared" si="5"/>
        <v>3.3406883564095713E-2</v>
      </c>
      <c r="F61" s="5">
        <f t="shared" si="2"/>
        <v>3.6327485049650665E-2</v>
      </c>
      <c r="G61" s="1">
        <v>44501</v>
      </c>
      <c r="H61" s="2">
        <v>315.62365215856568</v>
      </c>
      <c r="I61" s="5">
        <f t="shared" si="6"/>
        <v>3.3506883382316888E-2</v>
      </c>
      <c r="J61" s="5">
        <f t="shared" si="3"/>
        <v>3.6427597634858255E-2</v>
      </c>
      <c r="K61" s="7">
        <f t="shared" si="4"/>
        <v>1.0011258520759014E-4</v>
      </c>
      <c r="M61" s="7">
        <f t="shared" si="7"/>
        <v>9.9999818221174763E-5</v>
      </c>
    </row>
    <row r="62" spans="1:13" x14ac:dyDescent="0.25">
      <c r="A62">
        <f t="shared" si="0"/>
        <v>4.9166666666666661</v>
      </c>
      <c r="B62" s="1">
        <v>44531</v>
      </c>
      <c r="C62" s="2">
        <v>316.67524736642491</v>
      </c>
      <c r="D62" s="2">
        <f t="shared" si="1"/>
        <v>3.8003590682880173E-3</v>
      </c>
      <c r="E62" s="5">
        <f t="shared" si="5"/>
        <v>3.3354417766719768E-2</v>
      </c>
      <c r="F62" s="5">
        <f t="shared" si="2"/>
        <v>3.6500244212772204E-2</v>
      </c>
      <c r="G62" s="1">
        <v>44531</v>
      </c>
      <c r="H62" s="2">
        <v>316.82569035193995</v>
      </c>
      <c r="I62" s="5">
        <f t="shared" si="6"/>
        <v>3.3454417581632256E-2</v>
      </c>
      <c r="J62" s="5">
        <f t="shared" si="3"/>
        <v>3.660037653889936E-2</v>
      </c>
      <c r="K62" s="7">
        <f t="shared" si="4"/>
        <v>1.0013232612715584E-4</v>
      </c>
      <c r="M62" s="7">
        <f t="shared" si="7"/>
        <v>9.9999814912488105E-5</v>
      </c>
    </row>
    <row r="63" spans="1:13" x14ac:dyDescent="0.25">
      <c r="A63">
        <f t="shared" si="0"/>
        <v>4.9999999999999991</v>
      </c>
      <c r="B63" s="1">
        <v>44562</v>
      </c>
      <c r="C63" s="2">
        <v>315.48307726688205</v>
      </c>
      <c r="D63" s="2">
        <f t="shared" si="1"/>
        <v>-3.7646456723641197E-3</v>
      </c>
      <c r="E63" s="5">
        <f t="shared" si="5"/>
        <v>3.3301954633019992E-2</v>
      </c>
      <c r="F63" s="5">
        <f t="shared" si="2"/>
        <v>3.5099999999999909E-2</v>
      </c>
      <c r="G63" s="1">
        <v>44562</v>
      </c>
      <c r="H63" s="2">
        <v>315.63549927450441</v>
      </c>
      <c r="I63" s="5">
        <f t="shared" si="6"/>
        <v>3.3401954444366666E-2</v>
      </c>
      <c r="J63" s="5">
        <f t="shared" si="3"/>
        <v>3.5199999999999898E-2</v>
      </c>
      <c r="K63" s="7">
        <f t="shared" si="4"/>
        <v>9.9999999999988987E-5</v>
      </c>
      <c r="M63" s="7">
        <f t="shared" si="7"/>
        <v>9.9999811346673795E-5</v>
      </c>
    </row>
    <row r="64" spans="1:13" x14ac:dyDescent="0.25">
      <c r="A64">
        <f t="shared" si="0"/>
        <v>5.0833333333333321</v>
      </c>
      <c r="B64" s="1">
        <v>44593</v>
      </c>
      <c r="C64" s="2">
        <v>317.46429024265615</v>
      </c>
      <c r="D64" s="2">
        <f t="shared" si="1"/>
        <v>6.2799342295565275E-3</v>
      </c>
      <c r="E64" s="5">
        <f t="shared" si="5"/>
        <v>3.3381781484891349E-2</v>
      </c>
      <c r="F64" s="5">
        <f t="shared" si="2"/>
        <v>3.578959824836736E-2</v>
      </c>
      <c r="G64" s="1">
        <v>44593</v>
      </c>
      <c r="H64" s="2">
        <v>317.62022847350505</v>
      </c>
      <c r="I64" s="5">
        <f t="shared" si="6"/>
        <v>3.3481781312943104E-2</v>
      </c>
      <c r="J64" s="5">
        <f t="shared" si="3"/>
        <v>3.5889666201200709E-2</v>
      </c>
      <c r="K64" s="7">
        <f t="shared" si="4"/>
        <v>1.0006795283334924E-4</v>
      </c>
      <c r="M64" s="7">
        <f t="shared" si="7"/>
        <v>9.9999828051755557E-5</v>
      </c>
    </row>
    <row r="65" spans="1:13" x14ac:dyDescent="0.25">
      <c r="A65">
        <f t="shared" si="0"/>
        <v>5.1666666666666652</v>
      </c>
      <c r="B65" s="1">
        <v>44621</v>
      </c>
      <c r="C65" s="2">
        <v>318.84122231548434</v>
      </c>
      <c r="D65" s="2">
        <f t="shared" si="1"/>
        <v>4.3372817515183737E-3</v>
      </c>
      <c r="E65" s="5">
        <f t="shared" si="5"/>
        <v>3.346161450371743E-2</v>
      </c>
      <c r="F65" s="5">
        <f t="shared" si="2"/>
        <v>3.6069813916117743E-2</v>
      </c>
      <c r="G65" s="1">
        <v>44621</v>
      </c>
      <c r="H65" s="2">
        <v>319.00040703733094</v>
      </c>
      <c r="I65" s="5">
        <f t="shared" si="6"/>
        <v>3.3561614347880075E-2</v>
      </c>
      <c r="J65" s="5">
        <f t="shared" si="3"/>
        <v>3.6169910229493007E-2</v>
      </c>
      <c r="K65" s="7">
        <f t="shared" si="4"/>
        <v>1.0009631337526415E-4</v>
      </c>
      <c r="M65" s="7">
        <f t="shared" si="7"/>
        <v>9.9999844162645957E-5</v>
      </c>
    </row>
    <row r="66" spans="1:13" x14ac:dyDescent="0.25">
      <c r="A66">
        <f t="shared" si="0"/>
        <v>5.2499999999999982</v>
      </c>
      <c r="B66" s="1">
        <v>44652</v>
      </c>
      <c r="C66" s="2">
        <v>321.0778903236216</v>
      </c>
      <c r="D66" s="2">
        <f t="shared" si="1"/>
        <v>7.0149900690197331E-3</v>
      </c>
      <c r="E66" s="5">
        <f t="shared" si="5"/>
        <v>3.3541453689974299E-2</v>
      </c>
      <c r="F66" s="5">
        <f t="shared" si="2"/>
        <v>3.6866931503312106E-2</v>
      </c>
      <c r="G66" s="1">
        <v>44652</v>
      </c>
      <c r="H66" s="2">
        <v>321.24077991804586</v>
      </c>
      <c r="I66" s="5">
        <f t="shared" si="6"/>
        <v>3.3641453549654088E-2</v>
      </c>
      <c r="J66" s="5">
        <f t="shared" si="3"/>
        <v>3.6967106076319922E-2</v>
      </c>
      <c r="K66" s="7">
        <f t="shared" si="4"/>
        <v>1.0017457300781629E-4</v>
      </c>
      <c r="M66" s="7">
        <f t="shared" si="7"/>
        <v>9.9999859679789083E-5</v>
      </c>
    </row>
    <row r="67" spans="1:13" x14ac:dyDescent="0.25">
      <c r="A67">
        <f t="shared" si="0"/>
        <v>5.3333333333333313</v>
      </c>
      <c r="B67" s="1">
        <v>44682</v>
      </c>
      <c r="C67" s="2">
        <v>322.2221382828161</v>
      </c>
      <c r="D67" s="2">
        <f t="shared" si="1"/>
        <v>3.5637706415760917E-3</v>
      </c>
      <c r="E67" s="5">
        <f t="shared" si="5"/>
        <v>3.3621299044138908E-2</v>
      </c>
      <c r="F67" s="5">
        <f t="shared" si="2"/>
        <v>3.6972010737037486E-2</v>
      </c>
      <c r="G67" s="1">
        <v>44682</v>
      </c>
      <c r="H67" s="2">
        <v>322.38820581638424</v>
      </c>
      <c r="I67" s="5">
        <f t="shared" si="6"/>
        <v>3.3721298918741205E-2</v>
      </c>
      <c r="J67" s="5">
        <f t="shared" si="3"/>
        <v>3.7072196672000235E-2</v>
      </c>
      <c r="K67" s="7">
        <f t="shared" si="4"/>
        <v>1.0018593496274875E-4</v>
      </c>
      <c r="M67" s="7">
        <f t="shared" si="7"/>
        <v>9.9999874602296757E-5</v>
      </c>
    </row>
    <row r="68" spans="1:13" x14ac:dyDescent="0.25">
      <c r="A68">
        <f t="shared" si="0"/>
        <v>5.4166666666666643</v>
      </c>
      <c r="B68" s="1">
        <v>44713</v>
      </c>
      <c r="C68" s="2">
        <v>322.76325985061544</v>
      </c>
      <c r="D68" s="2">
        <f t="shared" si="1"/>
        <v>1.679343234090247E-3</v>
      </c>
      <c r="E68" s="5">
        <f t="shared" si="5"/>
        <v>3.3701150566687321E-2</v>
      </c>
      <c r="F68" s="5">
        <f t="shared" si="2"/>
        <v>3.6714080530674265E-2</v>
      </c>
      <c r="G68" s="1">
        <v>44713</v>
      </c>
      <c r="H68" s="2">
        <v>322.93220808951435</v>
      </c>
      <c r="I68" s="5">
        <f t="shared" si="6"/>
        <v>3.3801150455617712E-2</v>
      </c>
      <c r="J68" s="5">
        <f t="shared" si="3"/>
        <v>3.6814242718426815E-2</v>
      </c>
      <c r="K68" s="7">
        <f t="shared" si="4"/>
        <v>1.0016218775255048E-4</v>
      </c>
      <c r="M68" s="7">
        <f t="shared" si="7"/>
        <v>9.9999888930391023E-5</v>
      </c>
    </row>
    <row r="69" spans="1:13" x14ac:dyDescent="0.25">
      <c r="A69">
        <f t="shared" ref="A69:A132" si="8">A68+1/12</f>
        <v>5.4999999999999973</v>
      </c>
      <c r="B69" s="1">
        <v>44743</v>
      </c>
      <c r="C69" s="2">
        <v>322.45531903179614</v>
      </c>
      <c r="D69" s="2">
        <f t="shared" ref="D69:D132" si="9">C69/C68-1</f>
        <v>-9.540764303899163E-4</v>
      </c>
      <c r="E69" s="5">
        <f t="shared" si="5"/>
        <v>3.378100825809649E-2</v>
      </c>
      <c r="F69" s="5">
        <f t="shared" ref="F69:F132" si="10">(C69/$C$3)^(1/A69)-1</f>
        <v>3.5968063289394614E-2</v>
      </c>
      <c r="G69" s="1">
        <v>44743</v>
      </c>
      <c r="H69" s="2">
        <v>322.62670544071079</v>
      </c>
      <c r="I69" s="5">
        <f t="shared" si="6"/>
        <v>3.3881008160759896E-2</v>
      </c>
      <c r="J69" s="5">
        <f t="shared" ref="J69:J132" si="11">(H69/$H$3)^(1/A69)-1</f>
        <v>3.6068154536743169E-2</v>
      </c>
      <c r="K69" s="7">
        <f t="shared" ref="K69:K132" si="12">J69-F69</f>
        <v>1.000912473485549E-4</v>
      </c>
      <c r="M69" s="7">
        <f t="shared" si="7"/>
        <v>9.9999902663405749E-5</v>
      </c>
    </row>
    <row r="70" spans="1:13" x14ac:dyDescent="0.25">
      <c r="A70">
        <f t="shared" si="8"/>
        <v>5.5833333333333304</v>
      </c>
      <c r="B70" s="1">
        <v>44774</v>
      </c>
      <c r="C70" s="2">
        <v>323.7476757618245</v>
      </c>
      <c r="D70" s="2">
        <f t="shared" si="9"/>
        <v>4.007862961940889E-3</v>
      </c>
      <c r="E70" s="5">
        <f t="shared" si="5"/>
        <v>3.3860872118842478E-2</v>
      </c>
      <c r="F70" s="5">
        <f t="shared" si="10"/>
        <v>3.6163863025236331E-2</v>
      </c>
      <c r="G70" s="1">
        <v>44774</v>
      </c>
      <c r="H70" s="2">
        <v>323.92235886243179</v>
      </c>
      <c r="I70" s="5">
        <f t="shared" si="6"/>
        <v>3.3960872034644929E-2</v>
      </c>
      <c r="J70" s="5">
        <f t="shared" si="11"/>
        <v>3.6263974292389589E-2</v>
      </c>
      <c r="K70" s="7">
        <f t="shared" si="12"/>
        <v>1.001112671532578E-4</v>
      </c>
      <c r="M70" s="7">
        <f t="shared" si="7"/>
        <v>9.9999915802451156E-5</v>
      </c>
    </row>
    <row r="71" spans="1:13" x14ac:dyDescent="0.25">
      <c r="A71">
        <f t="shared" si="8"/>
        <v>5.6666666666666634</v>
      </c>
      <c r="B71" s="1">
        <v>44805</v>
      </c>
      <c r="C71" s="2">
        <v>325.25900778269204</v>
      </c>
      <c r="D71" s="2">
        <f t="shared" si="9"/>
        <v>4.6682405280937811E-3</v>
      </c>
      <c r="E71" s="5">
        <f t="shared" si="5"/>
        <v>3.3940742149402459E-2</v>
      </c>
      <c r="F71" s="5">
        <f t="shared" si="10"/>
        <v>3.6474198460836327E-2</v>
      </c>
      <c r="G71" s="1">
        <v>44805</v>
      </c>
      <c r="H71" s="2">
        <v>325.43712834877334</v>
      </c>
      <c r="I71" s="5">
        <f t="shared" si="6"/>
        <v>3.4040742077748876E-2</v>
      </c>
      <c r="J71" s="5">
        <f t="shared" si="11"/>
        <v>3.6574340782020265E-2</v>
      </c>
      <c r="K71" s="7">
        <f t="shared" si="12"/>
        <v>1.0014232118393807E-4</v>
      </c>
      <c r="M71" s="7">
        <f t="shared" si="7"/>
        <v>9.9999928346417022E-5</v>
      </c>
    </row>
    <row r="72" spans="1:13" x14ac:dyDescent="0.25">
      <c r="A72">
        <f t="shared" si="8"/>
        <v>5.7499999999999964</v>
      </c>
      <c r="B72" s="1">
        <v>44835</v>
      </c>
      <c r="C72" s="2">
        <v>325.69915208393894</v>
      </c>
      <c r="D72" s="2">
        <f t="shared" si="9"/>
        <v>1.3532117196304316E-3</v>
      </c>
      <c r="E72" s="5">
        <f t="shared" si="5"/>
        <v>3.4020618350252718E-2</v>
      </c>
      <c r="F72" s="5">
        <f t="shared" si="10"/>
        <v>3.6179863620120267E-2</v>
      </c>
      <c r="G72" s="1">
        <v>44835</v>
      </c>
      <c r="H72" s="2">
        <v>325.88013925688068</v>
      </c>
      <c r="I72" s="5">
        <f t="shared" si="6"/>
        <v>3.4120618290548466E-2</v>
      </c>
      <c r="J72" s="5">
        <f t="shared" si="11"/>
        <v>3.627997854215459E-2</v>
      </c>
      <c r="K72" s="7">
        <f t="shared" si="12"/>
        <v>1.0011492203432226E-4</v>
      </c>
      <c r="M72" s="7">
        <f t="shared" si="7"/>
        <v>9.9999940295747436E-5</v>
      </c>
    </row>
    <row r="73" spans="1:13" x14ac:dyDescent="0.25">
      <c r="A73">
        <f t="shared" si="8"/>
        <v>5.8333333333333295</v>
      </c>
      <c r="B73" s="1">
        <v>44866</v>
      </c>
      <c r="C73" s="2">
        <v>326.23422467371745</v>
      </c>
      <c r="D73" s="2">
        <f t="shared" si="9"/>
        <v>1.6428430542569927E-3</v>
      </c>
      <c r="E73" s="5">
        <f t="shared" si="5"/>
        <v>3.4100500721870208E-2</v>
      </c>
      <c r="F73" s="5">
        <f t="shared" si="10"/>
        <v>3.5945375985915407E-2</v>
      </c>
      <c r="G73" s="1">
        <v>44866</v>
      </c>
      <c r="H73" s="2">
        <v>326.41813908679359</v>
      </c>
      <c r="I73" s="5">
        <f t="shared" si="6"/>
        <v>3.4200500673520207E-2</v>
      </c>
      <c r="J73" s="5">
        <f t="shared" si="11"/>
        <v>3.6045469260984397E-2</v>
      </c>
      <c r="K73" s="7">
        <f t="shared" si="12"/>
        <v>1.0009327506899091E-4</v>
      </c>
      <c r="M73" s="7">
        <f t="shared" si="7"/>
        <v>9.9999951649998309E-5</v>
      </c>
    </row>
    <row r="74" spans="1:13" x14ac:dyDescent="0.25">
      <c r="A74">
        <f t="shared" si="8"/>
        <v>5.9166666666666625</v>
      </c>
      <c r="B74" s="1">
        <v>44896</v>
      </c>
      <c r="C74" s="2">
        <v>327.49933059191437</v>
      </c>
      <c r="D74" s="2">
        <f t="shared" si="9"/>
        <v>3.8779067998222505E-3</v>
      </c>
      <c r="E74" s="5">
        <f t="shared" si="5"/>
        <v>3.4180389264731215E-2</v>
      </c>
      <c r="F74" s="5">
        <f t="shared" si="10"/>
        <v>3.6107790935076656E-2</v>
      </c>
      <c r="G74" s="1">
        <v>44896</v>
      </c>
      <c r="H74" s="2">
        <v>327.68659833436192</v>
      </c>
      <c r="I74" s="5">
        <f t="shared" si="6"/>
        <v>3.4280389227140384E-2</v>
      </c>
      <c r="J74" s="5">
        <f t="shared" si="11"/>
        <v>3.6207900883498123E-2</v>
      </c>
      <c r="K74" s="7">
        <f t="shared" si="12"/>
        <v>1.0010994842146737E-4</v>
      </c>
      <c r="M74" s="7">
        <f t="shared" si="7"/>
        <v>9.999996240916964E-5</v>
      </c>
    </row>
    <row r="75" spans="1:13" x14ac:dyDescent="0.25">
      <c r="A75">
        <f t="shared" si="8"/>
        <v>5.9999999999999956</v>
      </c>
      <c r="B75" s="1">
        <v>44927</v>
      </c>
      <c r="C75" s="2">
        <v>326.2916170847131</v>
      </c>
      <c r="D75" s="2">
        <f t="shared" si="9"/>
        <v>-3.687682368750167E-3</v>
      </c>
      <c r="E75" s="5">
        <f t="shared" si="5"/>
        <v>3.4260283979313355E-2</v>
      </c>
      <c r="F75" s="5">
        <f t="shared" si="10"/>
        <v>3.4960000000000102E-2</v>
      </c>
      <c r="G75" s="1">
        <v>44927</v>
      </c>
      <c r="H75" s="2">
        <v>326.48082465487187</v>
      </c>
      <c r="I75" s="5">
        <f t="shared" si="6"/>
        <v>3.4360283951886617E-2</v>
      </c>
      <c r="J75" s="5">
        <f t="shared" si="11"/>
        <v>3.5060000000000091E-2</v>
      </c>
      <c r="K75" s="7">
        <f t="shared" si="12"/>
        <v>9.9999999999988987E-5</v>
      </c>
      <c r="M75" s="7">
        <f t="shared" si="7"/>
        <v>9.9999972573261431E-5</v>
      </c>
    </row>
    <row r="76" spans="1:13" x14ac:dyDescent="0.25">
      <c r="A76">
        <f t="shared" si="8"/>
        <v>6.0833333333333286</v>
      </c>
      <c r="B76" s="1">
        <v>44958</v>
      </c>
      <c r="C76" s="2">
        <v>328.32959988888615</v>
      </c>
      <c r="D76" s="2">
        <f t="shared" si="9"/>
        <v>6.2458938491329885E-3</v>
      </c>
      <c r="E76" s="5">
        <f t="shared" si="5"/>
        <v>3.4225297081208694E-2</v>
      </c>
      <c r="F76" s="5">
        <f t="shared" si="10"/>
        <v>3.5532290443509584E-2</v>
      </c>
      <c r="G76" s="1">
        <v>44958</v>
      </c>
      <c r="H76" s="2">
        <v>328.52263716574618</v>
      </c>
      <c r="I76" s="5">
        <f t="shared" si="6"/>
        <v>3.4325297052516301E-2</v>
      </c>
      <c r="J76" s="5">
        <f t="shared" si="11"/>
        <v>3.5632347222879446E-2</v>
      </c>
      <c r="K76" s="7">
        <f t="shared" si="12"/>
        <v>1.0005677936986146E-4</v>
      </c>
      <c r="M76" s="7">
        <f t="shared" si="7"/>
        <v>9.9999971307607183E-5</v>
      </c>
    </row>
    <row r="77" spans="1:13" x14ac:dyDescent="0.25">
      <c r="A77">
        <f t="shared" si="8"/>
        <v>6.1666666666666616</v>
      </c>
      <c r="B77" s="1">
        <v>44986</v>
      </c>
      <c r="C77" s="2">
        <v>329.74250298297051</v>
      </c>
      <c r="D77" s="2">
        <f t="shared" si="9"/>
        <v>4.3033070870324153E-3</v>
      </c>
      <c r="E77" s="5">
        <f t="shared" si="5"/>
        <v>3.4190311366638859E-2</v>
      </c>
      <c r="F77" s="5">
        <f t="shared" si="10"/>
        <v>3.5764797841029594E-2</v>
      </c>
      <c r="G77" s="1">
        <v>44986</v>
      </c>
      <c r="H77" s="2">
        <v>329.93903031113246</v>
      </c>
      <c r="I77" s="5">
        <f t="shared" si="6"/>
        <v>3.4290311336566459E-2</v>
      </c>
      <c r="J77" s="5">
        <f t="shared" si="11"/>
        <v>3.586487852978415E-2</v>
      </c>
      <c r="K77" s="7">
        <f t="shared" si="12"/>
        <v>1.0008068875455578E-4</v>
      </c>
      <c r="M77" s="7">
        <f t="shared" si="7"/>
        <v>9.9999969927599963E-5</v>
      </c>
    </row>
    <row r="78" spans="1:13" x14ac:dyDescent="0.25">
      <c r="A78">
        <f t="shared" si="8"/>
        <v>6.2499999999999947</v>
      </c>
      <c r="B78" s="1">
        <v>45017</v>
      </c>
      <c r="C78" s="2">
        <v>332.04441060729818</v>
      </c>
      <c r="D78" s="2">
        <f t="shared" si="9"/>
        <v>6.9809248231689214E-3</v>
      </c>
      <c r="E78" s="5">
        <f t="shared" si="5"/>
        <v>3.415532683556366E-2</v>
      </c>
      <c r="F78" s="5">
        <f t="shared" si="10"/>
        <v>3.6432597451089732E-2</v>
      </c>
      <c r="G78" s="1">
        <v>45017</v>
      </c>
      <c r="H78" s="2">
        <v>332.24498781690943</v>
      </c>
      <c r="I78" s="5">
        <f t="shared" si="6"/>
        <v>3.4255326803997121E-2</v>
      </c>
      <c r="J78" s="5">
        <f t="shared" si="11"/>
        <v>3.6532744072034662E-2</v>
      </c>
      <c r="K78" s="7">
        <f t="shared" si="12"/>
        <v>1.0014662094492977E-4</v>
      </c>
      <c r="M78" s="7">
        <f t="shared" si="7"/>
        <v>9.9999968433461817E-5</v>
      </c>
    </row>
    <row r="79" spans="1:13" x14ac:dyDescent="0.25">
      <c r="A79">
        <f t="shared" si="8"/>
        <v>6.3333333333333277</v>
      </c>
      <c r="B79" s="1">
        <v>45047</v>
      </c>
      <c r="C79" s="2">
        <v>333.21646832044536</v>
      </c>
      <c r="D79" s="2">
        <f t="shared" si="9"/>
        <v>3.5298221433799348E-3</v>
      </c>
      <c r="E79" s="5">
        <f t="shared" si="5"/>
        <v>3.412034348794335E-2</v>
      </c>
      <c r="F79" s="5">
        <f t="shared" si="10"/>
        <v>3.652122524870749E-2</v>
      </c>
      <c r="G79" s="1">
        <v>45047</v>
      </c>
      <c r="H79" s="2">
        <v>333.42044094518735</v>
      </c>
      <c r="I79" s="5">
        <f t="shared" si="6"/>
        <v>3.4220343454768098E-2</v>
      </c>
      <c r="J79" s="5">
        <f t="shared" si="11"/>
        <v>3.6621381802648623E-2</v>
      </c>
      <c r="K79" s="7">
        <f t="shared" si="12"/>
        <v>1.001565539411331E-4</v>
      </c>
      <c r="M79" s="7">
        <f t="shared" si="7"/>
        <v>9.9999966824748654E-5</v>
      </c>
    </row>
    <row r="80" spans="1:13" x14ac:dyDescent="0.25">
      <c r="A80">
        <f t="shared" si="8"/>
        <v>6.4166666666666607</v>
      </c>
      <c r="B80" s="1">
        <v>45078</v>
      </c>
      <c r="C80" s="2">
        <v>333.76476218465109</v>
      </c>
      <c r="D80" s="2">
        <f t="shared" si="9"/>
        <v>1.6454584821974372E-3</v>
      </c>
      <c r="E80" s="5">
        <f t="shared" ref="E80:E143" si="13">C80/C68-1</f>
        <v>3.408536132373774E-2</v>
      </c>
      <c r="F80" s="5">
        <f t="shared" si="10"/>
        <v>3.6303970877874736E-2</v>
      </c>
      <c r="G80" s="1">
        <v>45078</v>
      </c>
      <c r="H80" s="2">
        <v>333.97176229485706</v>
      </c>
      <c r="I80" s="5">
        <f t="shared" ref="I80:I143" si="14">H80/H68-1</f>
        <v>3.4185361288839422E-2</v>
      </c>
      <c r="J80" s="5">
        <f t="shared" si="11"/>
        <v>3.6404107772426419E-2</v>
      </c>
      <c r="K80" s="7">
        <f t="shared" si="12"/>
        <v>1.001368945516834E-4</v>
      </c>
      <c r="M80" s="7">
        <f t="shared" ref="M80:M143" si="15">I80-E80</f>
        <v>9.999996510168252E-5</v>
      </c>
    </row>
    <row r="81" spans="1:13" x14ac:dyDescent="0.25">
      <c r="A81">
        <f t="shared" si="8"/>
        <v>6.4999999999999938</v>
      </c>
      <c r="B81" s="1">
        <v>45108</v>
      </c>
      <c r="C81" s="2">
        <v>333.43504528842209</v>
      </c>
      <c r="D81" s="2">
        <f t="shared" si="9"/>
        <v>-9.8787209911210816E-4</v>
      </c>
      <c r="E81" s="5">
        <f t="shared" si="13"/>
        <v>3.4050380342906639E-2</v>
      </c>
      <c r="F81" s="5">
        <f t="shared" si="10"/>
        <v>3.5672803826372501E-2</v>
      </c>
      <c r="G81" s="1">
        <v>45108</v>
      </c>
      <c r="H81" s="2">
        <v>333.64453012843819</v>
      </c>
      <c r="I81" s="5">
        <f t="shared" si="14"/>
        <v>3.4150380306171346E-2</v>
      </c>
      <c r="J81" s="5">
        <f t="shared" si="11"/>
        <v>3.5772881030355252E-2</v>
      </c>
      <c r="K81" s="7">
        <f t="shared" si="12"/>
        <v>1.0007720398275133E-4</v>
      </c>
      <c r="M81" s="7">
        <f t="shared" si="15"/>
        <v>9.9999963264707503E-5</v>
      </c>
    </row>
    <row r="82" spans="1:13" x14ac:dyDescent="0.25">
      <c r="A82">
        <f t="shared" si="8"/>
        <v>6.5833333333333268</v>
      </c>
      <c r="B82" s="1">
        <v>45139</v>
      </c>
      <c r="C82" s="2">
        <v>334.76008262850854</v>
      </c>
      <c r="D82" s="2">
        <f t="shared" si="9"/>
        <v>3.9738994410150053E-3</v>
      </c>
      <c r="E82" s="5">
        <f t="shared" si="13"/>
        <v>3.4015400545410079E-2</v>
      </c>
      <c r="F82" s="5">
        <f t="shared" si="10"/>
        <v>3.5837226981849435E-2</v>
      </c>
      <c r="G82" s="1">
        <v>45139</v>
      </c>
      <c r="H82" s="2">
        <v>334.97309986810632</v>
      </c>
      <c r="I82" s="5">
        <f t="shared" si="14"/>
        <v>3.4115400506723681E-2</v>
      </c>
      <c r="J82" s="5">
        <f t="shared" si="11"/>
        <v>3.5937321339792216E-2</v>
      </c>
      <c r="K82" s="7">
        <f t="shared" si="12"/>
        <v>1.0009435794278154E-4</v>
      </c>
      <c r="M82" s="7">
        <f t="shared" si="15"/>
        <v>9.999996131360156E-5</v>
      </c>
    </row>
    <row r="83" spans="1:13" x14ac:dyDescent="0.25">
      <c r="A83">
        <f t="shared" si="8"/>
        <v>6.6666666666666599</v>
      </c>
      <c r="B83" s="1">
        <v>45170</v>
      </c>
      <c r="C83" s="2">
        <v>336.31144610407409</v>
      </c>
      <c r="D83" s="2">
        <f t="shared" si="9"/>
        <v>4.6342546679531971E-3</v>
      </c>
      <c r="E83" s="5">
        <f t="shared" si="13"/>
        <v>3.3980421931208316E-2</v>
      </c>
      <c r="F83" s="5">
        <f t="shared" si="10"/>
        <v>3.6099748908204665E-2</v>
      </c>
      <c r="G83" s="1">
        <v>45170</v>
      </c>
      <c r="H83" s="2">
        <v>336.52816298171797</v>
      </c>
      <c r="I83" s="5">
        <f t="shared" si="14"/>
        <v>3.4080421890455792E-2</v>
      </c>
      <c r="J83" s="5">
        <f t="shared" si="11"/>
        <v>3.6199869868394963E-2</v>
      </c>
      <c r="K83" s="7">
        <f t="shared" si="12"/>
        <v>1.0012096019029748E-4</v>
      </c>
      <c r="M83" s="7">
        <f t="shared" si="15"/>
        <v>9.9999959247476511E-5</v>
      </c>
    </row>
    <row r="84" spans="1:13" x14ac:dyDescent="0.25">
      <c r="A84">
        <f t="shared" si="8"/>
        <v>6.7499999999999929</v>
      </c>
      <c r="B84" s="1">
        <v>45200</v>
      </c>
      <c r="C84" s="2">
        <v>336.75515457478645</v>
      </c>
      <c r="D84" s="2">
        <f t="shared" si="9"/>
        <v>1.319338000095982E-3</v>
      </c>
      <c r="E84" s="5">
        <f t="shared" si="13"/>
        <v>3.3945444500261379E-2</v>
      </c>
      <c r="F84" s="5">
        <f t="shared" si="10"/>
        <v>3.5848534124401699E-2</v>
      </c>
      <c r="G84" s="1">
        <v>45200</v>
      </c>
      <c r="H84" s="2">
        <v>336.97487343769734</v>
      </c>
      <c r="I84" s="5">
        <f t="shared" si="14"/>
        <v>3.40454444573286E-2</v>
      </c>
      <c r="J84" s="5">
        <f t="shared" si="11"/>
        <v>3.5948632012693826E-2</v>
      </c>
      <c r="K84" s="7">
        <f t="shared" si="12"/>
        <v>1.0009788829212773E-4</v>
      </c>
      <c r="M84" s="7">
        <f t="shared" si="15"/>
        <v>9.9999957067220535E-5</v>
      </c>
    </row>
    <row r="85" spans="1:13" x14ac:dyDescent="0.25">
      <c r="A85">
        <f t="shared" si="8"/>
        <v>6.8333333333333259</v>
      </c>
      <c r="B85" s="1">
        <v>45231</v>
      </c>
      <c r="C85" s="2">
        <v>337.29697999240386</v>
      </c>
      <c r="D85" s="2">
        <f t="shared" si="9"/>
        <v>1.6089595370902821E-3</v>
      </c>
      <c r="E85" s="5">
        <f t="shared" si="13"/>
        <v>3.3910468252528636E-2</v>
      </c>
      <c r="F85" s="5">
        <f t="shared" si="10"/>
        <v>3.5647334632347816E-2</v>
      </c>
      <c r="G85" s="1">
        <v>45231</v>
      </c>
      <c r="H85" s="2">
        <v>337.51977282849157</v>
      </c>
      <c r="I85" s="5">
        <f t="shared" si="14"/>
        <v>3.4010468207301692E-2</v>
      </c>
      <c r="J85" s="5">
        <f t="shared" si="11"/>
        <v>3.5747414252027765E-2</v>
      </c>
      <c r="K85" s="7">
        <f t="shared" si="12"/>
        <v>1.0007961967994916E-4</v>
      </c>
      <c r="M85" s="7">
        <f t="shared" si="15"/>
        <v>9.9999954773055677E-5</v>
      </c>
    </row>
    <row r="86" spans="1:13" x14ac:dyDescent="0.25">
      <c r="A86">
        <f t="shared" si="8"/>
        <v>6.916666666666659</v>
      </c>
      <c r="B86" s="1">
        <v>45261</v>
      </c>
      <c r="C86" s="2">
        <v>338.59353193444576</v>
      </c>
      <c r="D86" s="2">
        <f t="shared" si="9"/>
        <v>3.8439476750462553E-3</v>
      </c>
      <c r="E86" s="5">
        <f t="shared" si="13"/>
        <v>3.3875493187970784E-2</v>
      </c>
      <c r="F86" s="5">
        <f t="shared" si="10"/>
        <v>3.5784751287165406E-2</v>
      </c>
      <c r="G86" s="1">
        <v>45261</v>
      </c>
      <c r="H86" s="2">
        <v>338.81991210825078</v>
      </c>
      <c r="I86" s="5">
        <f t="shared" si="14"/>
        <v>3.39754931403351E-2</v>
      </c>
      <c r="J86" s="5">
        <f t="shared" si="11"/>
        <v>3.5884845331986437E-2</v>
      </c>
      <c r="K86" s="7">
        <f t="shared" si="12"/>
        <v>1.0009404482103079E-4</v>
      </c>
      <c r="M86" s="7">
        <f t="shared" si="15"/>
        <v>9.9999952364315803E-5</v>
      </c>
    </row>
    <row r="87" spans="1:13" x14ac:dyDescent="0.25">
      <c r="A87">
        <f t="shared" si="8"/>
        <v>6.999999999999992</v>
      </c>
      <c r="B87" s="1">
        <v>45292</v>
      </c>
      <c r="C87" s="2">
        <v>337.33349485223249</v>
      </c>
      <c r="D87" s="2">
        <f t="shared" si="9"/>
        <v>-3.7213855652069583E-3</v>
      </c>
      <c r="E87" s="5">
        <f t="shared" si="13"/>
        <v>3.384051930654608E-2</v>
      </c>
      <c r="F87" s="5">
        <f t="shared" si="10"/>
        <v>3.4799999999999942E-2</v>
      </c>
      <c r="G87" s="1">
        <v>45292</v>
      </c>
      <c r="H87" s="2">
        <v>337.56175337091179</v>
      </c>
      <c r="I87" s="5">
        <f t="shared" si="14"/>
        <v>3.3940519256387303E-2</v>
      </c>
      <c r="J87" s="5">
        <f t="shared" si="11"/>
        <v>3.4899999999999931E-2</v>
      </c>
      <c r="K87" s="7">
        <f t="shared" si="12"/>
        <v>9.9999999999988987E-5</v>
      </c>
      <c r="M87" s="7">
        <f t="shared" si="15"/>
        <v>9.9999949841222957E-5</v>
      </c>
    </row>
    <row r="88" spans="1:13" x14ac:dyDescent="0.25">
      <c r="A88">
        <f t="shared" si="8"/>
        <v>7.083333333333325</v>
      </c>
      <c r="B88" s="1">
        <v>45323</v>
      </c>
      <c r="C88" s="2">
        <v>339.46012400975417</v>
      </c>
      <c r="D88" s="2">
        <f t="shared" si="9"/>
        <v>6.3042336144332189E-3</v>
      </c>
      <c r="E88" s="5">
        <f t="shared" si="13"/>
        <v>3.3900458943192602E-2</v>
      </c>
      <c r="F88" s="5">
        <f t="shared" si="10"/>
        <v>3.5301758187527454E-2</v>
      </c>
      <c r="G88" s="1">
        <v>45323</v>
      </c>
      <c r="H88" s="2">
        <v>339.69255758804627</v>
      </c>
      <c r="I88" s="5">
        <f t="shared" si="14"/>
        <v>3.4000458898863162E-2</v>
      </c>
      <c r="J88" s="5">
        <f t="shared" si="11"/>
        <v>3.5401806948947012E-2</v>
      </c>
      <c r="K88" s="7">
        <f t="shared" si="12"/>
        <v>1.0004876141955776E-4</v>
      </c>
      <c r="M88" s="7">
        <f t="shared" si="15"/>
        <v>9.999995567055997E-5</v>
      </c>
    </row>
    <row r="89" spans="1:13" x14ac:dyDescent="0.25">
      <c r="A89">
        <f t="shared" si="8"/>
        <v>7.1666666666666581</v>
      </c>
      <c r="B89" s="1">
        <v>45352</v>
      </c>
      <c r="C89" s="2">
        <v>340.94069095889347</v>
      </c>
      <c r="D89" s="2">
        <f t="shared" si="9"/>
        <v>4.3615342257306011E-3</v>
      </c>
      <c r="E89" s="5">
        <f t="shared" si="13"/>
        <v>3.3960402054997729E-2</v>
      </c>
      <c r="F89" s="5">
        <f t="shared" si="10"/>
        <v>3.5512832773486602E-2</v>
      </c>
      <c r="G89" s="1">
        <v>45352</v>
      </c>
      <c r="H89" s="2">
        <v>341.17688632435238</v>
      </c>
      <c r="I89" s="5">
        <f t="shared" si="14"/>
        <v>3.4060402016162339E-2</v>
      </c>
      <c r="J89" s="5">
        <f t="shared" si="11"/>
        <v>3.5612902199286367E-2</v>
      </c>
      <c r="K89" s="7">
        <f t="shared" si="12"/>
        <v>1.0006942579976474E-4</v>
      </c>
      <c r="M89" s="7">
        <f t="shared" si="15"/>
        <v>9.999996116460963E-5</v>
      </c>
    </row>
    <row r="90" spans="1:13" x14ac:dyDescent="0.25">
      <c r="A90">
        <f t="shared" si="8"/>
        <v>7.2499999999999911</v>
      </c>
      <c r="B90" s="1">
        <v>45383</v>
      </c>
      <c r="C90" s="2">
        <v>343.34067722084006</v>
      </c>
      <c r="D90" s="2">
        <f t="shared" si="9"/>
        <v>7.0393072038326121E-3</v>
      </c>
      <c r="E90" s="5">
        <f t="shared" si="13"/>
        <v>3.4020348642163301E-2</v>
      </c>
      <c r="F90" s="5">
        <f t="shared" si="10"/>
        <v>3.6099539201494668E-2</v>
      </c>
      <c r="G90" s="1">
        <v>45383</v>
      </c>
      <c r="H90" s="2">
        <v>343.58130262464459</v>
      </c>
      <c r="I90" s="5">
        <f t="shared" si="14"/>
        <v>3.4120348608486006E-2</v>
      </c>
      <c r="J90" s="5">
        <f t="shared" si="11"/>
        <v>3.6199665585887608E-2</v>
      </c>
      <c r="K90" s="7">
        <f t="shared" si="12"/>
        <v>1.0012638439294008E-4</v>
      </c>
      <c r="M90" s="7">
        <f t="shared" si="15"/>
        <v>9.9999966322705802E-5</v>
      </c>
    </row>
    <row r="91" spans="1:13" x14ac:dyDescent="0.25">
      <c r="A91">
        <f t="shared" si="8"/>
        <v>7.3333333333333242</v>
      </c>
      <c r="B91" s="1">
        <v>45413</v>
      </c>
      <c r="C91" s="2">
        <v>344.57258509419489</v>
      </c>
      <c r="D91" s="2">
        <f t="shared" si="9"/>
        <v>3.5880044372442743E-3</v>
      </c>
      <c r="E91" s="5">
        <f t="shared" si="13"/>
        <v>3.408029870489071E-2</v>
      </c>
      <c r="F91" s="5">
        <f t="shared" si="10"/>
        <v>3.6188032654885571E-2</v>
      </c>
      <c r="G91" s="1">
        <v>45413</v>
      </c>
      <c r="H91" s="2">
        <v>344.81685120138962</v>
      </c>
      <c r="I91" s="5">
        <f t="shared" si="14"/>
        <v>3.4180298676036447E-2</v>
      </c>
      <c r="J91" s="5">
        <f t="shared" si="11"/>
        <v>3.6288167845907493E-2</v>
      </c>
      <c r="K91" s="7">
        <f t="shared" si="12"/>
        <v>1.001351910219217E-4</v>
      </c>
      <c r="M91" s="7">
        <f t="shared" si="15"/>
        <v>9.9999971145736666E-5</v>
      </c>
    </row>
    <row r="92" spans="1:13" x14ac:dyDescent="0.25">
      <c r="A92">
        <f t="shared" si="8"/>
        <v>7.4166666666666572</v>
      </c>
      <c r="B92" s="1">
        <v>45444</v>
      </c>
      <c r="C92" s="2">
        <v>345.15957535558732</v>
      </c>
      <c r="D92" s="2">
        <f t="shared" si="9"/>
        <v>1.7035315250979455E-3</v>
      </c>
      <c r="E92" s="5">
        <f t="shared" si="13"/>
        <v>3.4140252243381575E-2</v>
      </c>
      <c r="F92" s="5">
        <f t="shared" si="10"/>
        <v>3.6011969693915846E-2</v>
      </c>
      <c r="G92" s="1">
        <v>45444</v>
      </c>
      <c r="H92" s="2">
        <v>345.40703966986172</v>
      </c>
      <c r="I92" s="5">
        <f t="shared" si="14"/>
        <v>3.4240252219014389E-2</v>
      </c>
      <c r="J92" s="5">
        <f t="shared" si="11"/>
        <v>3.6112088119604202E-2</v>
      </c>
      <c r="K92" s="7">
        <f t="shared" si="12"/>
        <v>1.0011842568835583E-4</v>
      </c>
      <c r="M92" s="7">
        <f t="shared" si="15"/>
        <v>9.9999975632814042E-5</v>
      </c>
    </row>
    <row r="93" spans="1:13" x14ac:dyDescent="0.25">
      <c r="A93">
        <f t="shared" si="8"/>
        <v>7.4999999999999902</v>
      </c>
      <c r="B93" s="1">
        <v>45474</v>
      </c>
      <c r="C93" s="2">
        <v>344.83859361118255</v>
      </c>
      <c r="D93" s="2">
        <f t="shared" si="9"/>
        <v>-9.299517305121352E-4</v>
      </c>
      <c r="E93" s="5">
        <f t="shared" si="13"/>
        <v>3.4200209257837288E-2</v>
      </c>
      <c r="F93" s="5">
        <f t="shared" si="10"/>
        <v>3.5476336799248109E-2</v>
      </c>
      <c r="G93" s="1">
        <v>45474</v>
      </c>
      <c r="H93" s="2">
        <v>345.08860732283159</v>
      </c>
      <c r="I93" s="5">
        <f t="shared" si="14"/>
        <v>3.4300209237621671E-2</v>
      </c>
      <c r="J93" s="5">
        <f t="shared" si="11"/>
        <v>3.5576403705676496E-2</v>
      </c>
      <c r="K93" s="7">
        <f t="shared" si="12"/>
        <v>1.0006690642838656E-4</v>
      </c>
      <c r="M93" s="7">
        <f t="shared" si="15"/>
        <v>9.999997978438202E-5</v>
      </c>
    </row>
    <row r="94" spans="1:13" x14ac:dyDescent="0.25">
      <c r="A94">
        <f t="shared" si="8"/>
        <v>7.5833333333333233</v>
      </c>
      <c r="B94" s="1">
        <v>45505</v>
      </c>
      <c r="C94" s="2">
        <v>346.22901988436951</v>
      </c>
      <c r="D94" s="2">
        <f t="shared" si="9"/>
        <v>4.0321074814344549E-3</v>
      </c>
      <c r="E94" s="5">
        <f t="shared" si="13"/>
        <v>3.4260169748459246E-2</v>
      </c>
      <c r="F94" s="5">
        <f t="shared" si="10"/>
        <v>3.5629125824684138E-2</v>
      </c>
      <c r="G94" s="1">
        <v>45505</v>
      </c>
      <c r="H94" s="2">
        <v>346.48283243524855</v>
      </c>
      <c r="I94" s="5">
        <f t="shared" si="14"/>
        <v>3.4360169732059465E-2</v>
      </c>
      <c r="J94" s="5">
        <f t="shared" si="11"/>
        <v>3.572920773449173E-2</v>
      </c>
      <c r="K94" s="7">
        <f t="shared" si="12"/>
        <v>1.0008190980759224E-4</v>
      </c>
      <c r="M94" s="7">
        <f t="shared" si="15"/>
        <v>9.9999983600218556E-5</v>
      </c>
    </row>
    <row r="95" spans="1:13" x14ac:dyDescent="0.25">
      <c r="A95">
        <f t="shared" si="8"/>
        <v>7.6666666666666563</v>
      </c>
      <c r="B95" s="1">
        <v>45536</v>
      </c>
      <c r="C95" s="2">
        <v>347.85369990440205</v>
      </c>
      <c r="D95" s="2">
        <f t="shared" si="9"/>
        <v>4.6925009942122564E-3</v>
      </c>
      <c r="E95" s="5">
        <f t="shared" si="13"/>
        <v>3.4320133715449286E-2</v>
      </c>
      <c r="F95" s="5">
        <f t="shared" si="10"/>
        <v>3.586745165467442E-2</v>
      </c>
      <c r="G95" s="1">
        <v>45536</v>
      </c>
      <c r="H95" s="2">
        <v>348.11150734621549</v>
      </c>
      <c r="I95" s="5">
        <f t="shared" si="14"/>
        <v>3.4420133702530054E-2</v>
      </c>
      <c r="J95" s="5">
        <f t="shared" si="11"/>
        <v>3.5967556828945035E-2</v>
      </c>
      <c r="K95" s="7">
        <f t="shared" si="12"/>
        <v>1.0010517427061494E-4</v>
      </c>
      <c r="M95" s="7">
        <f t="shared" si="15"/>
        <v>9.9999987080767738E-5</v>
      </c>
    </row>
    <row r="96" spans="1:13" x14ac:dyDescent="0.25">
      <c r="A96">
        <f t="shared" si="8"/>
        <v>7.7499999999999893</v>
      </c>
      <c r="B96" s="1">
        <v>45566</v>
      </c>
      <c r="C96" s="2">
        <v>348.33283085488523</v>
      </c>
      <c r="D96" s="2">
        <f t="shared" si="9"/>
        <v>1.3773921352995266E-3</v>
      </c>
      <c r="E96" s="5">
        <f t="shared" si="13"/>
        <v>3.4380101159008802E-2</v>
      </c>
      <c r="F96" s="5">
        <f t="shared" si="10"/>
        <v>3.5658941827418245E-2</v>
      </c>
      <c r="G96" s="1">
        <v>45566</v>
      </c>
      <c r="H96" s="2">
        <v>348.59380115857948</v>
      </c>
      <c r="I96" s="5">
        <f t="shared" si="14"/>
        <v>3.4480101149233944E-2</v>
      </c>
      <c r="J96" s="5">
        <f t="shared" si="11"/>
        <v>3.5759027079407701E-2</v>
      </c>
      <c r="K96" s="7">
        <f t="shared" si="12"/>
        <v>1.0008525198945684E-4</v>
      </c>
      <c r="M96" s="7">
        <f t="shared" si="15"/>
        <v>9.9999990225141389E-5</v>
      </c>
    </row>
    <row r="97" spans="1:13" x14ac:dyDescent="0.25">
      <c r="A97">
        <f t="shared" si="8"/>
        <v>7.8333333333333224</v>
      </c>
      <c r="B97" s="1">
        <v>45597</v>
      </c>
      <c r="C97" s="2">
        <v>348.91351229548559</v>
      </c>
      <c r="D97" s="2">
        <f t="shared" si="9"/>
        <v>1.6670304638677358E-3</v>
      </c>
      <c r="E97" s="5">
        <f t="shared" si="13"/>
        <v>3.4440072079338968E-2</v>
      </c>
      <c r="F97" s="5">
        <f t="shared" si="10"/>
        <v>3.5493137590321799E-2</v>
      </c>
      <c r="G97" s="1">
        <v>45597</v>
      </c>
      <c r="H97" s="2">
        <v>349.17773010783878</v>
      </c>
      <c r="I97" s="5">
        <f t="shared" si="14"/>
        <v>3.4540072072373418E-2</v>
      </c>
      <c r="J97" s="5">
        <f t="shared" si="11"/>
        <v>3.5593207042133423E-2</v>
      </c>
      <c r="K97" s="7">
        <f t="shared" si="12"/>
        <v>1.0006945181162408E-4</v>
      </c>
      <c r="M97" s="7">
        <f t="shared" si="15"/>
        <v>9.999999303444973E-5</v>
      </c>
    </row>
    <row r="98" spans="1:13" x14ac:dyDescent="0.25">
      <c r="A98">
        <f t="shared" si="8"/>
        <v>7.9166666666666554</v>
      </c>
      <c r="B98" s="1">
        <v>45627</v>
      </c>
      <c r="C98" s="2">
        <v>350.27502452287445</v>
      </c>
      <c r="D98" s="2">
        <f t="shared" si="9"/>
        <v>3.9021481811682968E-3</v>
      </c>
      <c r="E98" s="5">
        <f t="shared" si="13"/>
        <v>3.4500046476641844E-2</v>
      </c>
      <c r="F98" s="5">
        <f t="shared" si="10"/>
        <v>3.5622384790204409E-2</v>
      </c>
      <c r="G98" s="1">
        <v>45627</v>
      </c>
      <c r="H98" s="2">
        <v>350.54309681288595</v>
      </c>
      <c r="I98" s="5">
        <f t="shared" si="14"/>
        <v>3.4600046472149648E-2</v>
      </c>
      <c r="J98" s="5">
        <f t="shared" si="11"/>
        <v>3.5722466950733445E-2</v>
      </c>
      <c r="K98" s="7">
        <f t="shared" si="12"/>
        <v>1.0008216052903585E-4</v>
      </c>
      <c r="M98" s="7">
        <f t="shared" si="15"/>
        <v>9.9999995507804584E-5</v>
      </c>
    </row>
    <row r="99" spans="1:13" x14ac:dyDescent="0.25">
      <c r="A99">
        <f t="shared" si="8"/>
        <v>7.9999999999999885</v>
      </c>
      <c r="B99" s="1">
        <v>45658</v>
      </c>
      <c r="C99" s="2">
        <v>348.99174864877392</v>
      </c>
      <c r="D99" s="2">
        <f t="shared" si="9"/>
        <v>-3.6636236792746413E-3</v>
      </c>
      <c r="E99" s="5">
        <f t="shared" si="13"/>
        <v>3.4560024351119489E-2</v>
      </c>
      <c r="F99" s="5">
        <f t="shared" si="10"/>
        <v>3.4769999999999968E-2</v>
      </c>
      <c r="G99" s="1">
        <v>45658</v>
      </c>
      <c r="H99" s="2">
        <v>349.26165196195984</v>
      </c>
      <c r="I99" s="5">
        <f t="shared" si="14"/>
        <v>3.466002434876625E-2</v>
      </c>
      <c r="J99" s="5">
        <f t="shared" si="11"/>
        <v>3.4869999999999957E-2</v>
      </c>
      <c r="K99" s="7">
        <f t="shared" si="12"/>
        <v>9.9999999999988987E-5</v>
      </c>
      <c r="M99" s="7">
        <f t="shared" si="15"/>
        <v>9.9999997646760264E-5</v>
      </c>
    </row>
    <row r="100" spans="1:13" x14ac:dyDescent="0.25">
      <c r="A100">
        <f t="shared" si="8"/>
        <v>8.0833333333333215</v>
      </c>
      <c r="B100" s="1">
        <v>45689</v>
      </c>
      <c r="C100" s="2">
        <v>351.2029044150122</v>
      </c>
      <c r="D100" s="2">
        <f t="shared" si="9"/>
        <v>6.3358396718531385E-3</v>
      </c>
      <c r="E100" s="5">
        <f t="shared" si="13"/>
        <v>3.4592517867932493E-2</v>
      </c>
      <c r="F100" s="5">
        <f t="shared" si="10"/>
        <v>3.5213990769968451E-2</v>
      </c>
      <c r="G100" s="1">
        <v>45689</v>
      </c>
      <c r="H100" s="2">
        <v>351.47734771118672</v>
      </c>
      <c r="I100" s="5">
        <f t="shared" si="14"/>
        <v>3.4692517866205863E-2</v>
      </c>
      <c r="J100" s="5">
        <f t="shared" si="11"/>
        <v>3.531403349775708E-2</v>
      </c>
      <c r="K100" s="7">
        <f t="shared" si="12"/>
        <v>1.0004272778862955E-4</v>
      </c>
      <c r="M100" s="7">
        <f t="shared" si="15"/>
        <v>9.9999998273370139E-5</v>
      </c>
    </row>
    <row r="101" spans="1:13" x14ac:dyDescent="0.25">
      <c r="A101">
        <f t="shared" si="8"/>
        <v>8.1666666666666554</v>
      </c>
      <c r="B101" s="1">
        <v>45717</v>
      </c>
      <c r="C101" s="2">
        <v>352.74576661281799</v>
      </c>
      <c r="D101" s="2">
        <f t="shared" si="9"/>
        <v>4.3930792667437046E-3</v>
      </c>
      <c r="E101" s="5">
        <f t="shared" si="13"/>
        <v>3.4625012405303801E-2</v>
      </c>
      <c r="F101" s="5">
        <f t="shared" si="10"/>
        <v>3.5404079156305945E-2</v>
      </c>
      <c r="G101" s="1">
        <v>45717</v>
      </c>
      <c r="H101" s="2">
        <v>353.02425793395946</v>
      </c>
      <c r="I101" s="5">
        <f t="shared" si="14"/>
        <v>3.4725012404104971E-2</v>
      </c>
      <c r="J101" s="5">
        <f t="shared" si="11"/>
        <v>3.550414007839553E-2</v>
      </c>
      <c r="K101" s="7">
        <f t="shared" si="12"/>
        <v>1.0006092208958428E-4</v>
      </c>
      <c r="M101" s="7">
        <f t="shared" si="15"/>
        <v>9.9999998801170165E-5</v>
      </c>
    </row>
    <row r="102" spans="1:13" x14ac:dyDescent="0.25">
      <c r="A102">
        <f t="shared" si="8"/>
        <v>8.2499999999999893</v>
      </c>
      <c r="B102" s="1">
        <v>45748</v>
      </c>
      <c r="C102" s="2">
        <v>355.24000947573415</v>
      </c>
      <c r="D102" s="2">
        <f t="shared" si="9"/>
        <v>7.0709363484833254E-3</v>
      </c>
      <c r="E102" s="5">
        <f t="shared" si="13"/>
        <v>3.4657507963265166E-2</v>
      </c>
      <c r="F102" s="5">
        <f t="shared" si="10"/>
        <v>3.5924640550309972E-2</v>
      </c>
      <c r="G102" s="1">
        <v>45748</v>
      </c>
      <c r="H102" s="2">
        <v>355.52333248638536</v>
      </c>
      <c r="I102" s="5">
        <f t="shared" si="14"/>
        <v>3.4757507962495771E-2</v>
      </c>
      <c r="J102" s="5">
        <f t="shared" si="11"/>
        <v>3.602475160687546E-2</v>
      </c>
      <c r="K102" s="7">
        <f t="shared" si="12"/>
        <v>1.0011105656548835E-4</v>
      </c>
      <c r="M102" s="7">
        <f t="shared" si="15"/>
        <v>9.9999999230604431E-5</v>
      </c>
    </row>
    <row r="103" spans="1:13" x14ac:dyDescent="0.25">
      <c r="A103">
        <f t="shared" si="8"/>
        <v>8.3333333333333233</v>
      </c>
      <c r="B103" s="1">
        <v>45778</v>
      </c>
      <c r="C103" s="2">
        <v>356.52580963610905</v>
      </c>
      <c r="D103" s="2">
        <f t="shared" si="9"/>
        <v>3.619525183192307E-3</v>
      </c>
      <c r="E103" s="5">
        <f t="shared" si="13"/>
        <v>3.4690004541848563E-2</v>
      </c>
      <c r="F103" s="5">
        <f t="shared" si="10"/>
        <v>3.6008154827849248E-2</v>
      </c>
      <c r="G103" s="1">
        <v>45778</v>
      </c>
      <c r="H103" s="2">
        <v>356.81303102064066</v>
      </c>
      <c r="I103" s="5">
        <f t="shared" si="14"/>
        <v>3.4790004541410013E-2</v>
      </c>
      <c r="J103" s="5">
        <f t="shared" si="11"/>
        <v>3.6108273786299216E-2</v>
      </c>
      <c r="K103" s="7">
        <f t="shared" si="12"/>
        <v>1.0011895844996843E-4</v>
      </c>
      <c r="M103" s="7">
        <f t="shared" si="15"/>
        <v>9.9999999561450892E-5</v>
      </c>
    </row>
    <row r="104" spans="1:13" x14ac:dyDescent="0.25">
      <c r="A104">
        <f t="shared" si="8"/>
        <v>8.4166666666666572</v>
      </c>
      <c r="B104" s="1">
        <v>45809</v>
      </c>
      <c r="C104" s="2">
        <v>357.14437944988822</v>
      </c>
      <c r="D104" s="2">
        <f t="shared" si="9"/>
        <v>1.7349930834194005E-3</v>
      </c>
      <c r="E104" s="5">
        <f t="shared" si="13"/>
        <v>3.4722502141086631E-2</v>
      </c>
      <c r="F104" s="5">
        <f t="shared" si="10"/>
        <v>3.5858681548040394E-2</v>
      </c>
      <c r="G104" s="1">
        <v>45809</v>
      </c>
      <c r="H104" s="2">
        <v>357.43497704824051</v>
      </c>
      <c r="I104" s="5">
        <f t="shared" si="14"/>
        <v>3.4822502140880118E-2</v>
      </c>
      <c r="J104" s="5">
        <f t="shared" si="11"/>
        <v>3.5958785896006873E-2</v>
      </c>
      <c r="K104" s="7">
        <f t="shared" si="12"/>
        <v>1.0010434796647871E-4</v>
      </c>
      <c r="M104" s="7">
        <f t="shared" si="15"/>
        <v>9.9999999793487504E-5</v>
      </c>
    </row>
    <row r="105" spans="1:13" x14ac:dyDescent="0.25">
      <c r="A105">
        <f t="shared" si="8"/>
        <v>8.4999999999999911</v>
      </c>
      <c r="B105" s="1">
        <v>45839</v>
      </c>
      <c r="C105" s="2">
        <v>356.82345919456503</v>
      </c>
      <c r="D105" s="2">
        <f t="shared" si="9"/>
        <v>-8.9857288477424024E-4</v>
      </c>
      <c r="E105" s="5">
        <f t="shared" si="13"/>
        <v>3.4755000761010679E-2</v>
      </c>
      <c r="F105" s="5">
        <f t="shared" si="10"/>
        <v>3.5391447643264629E-2</v>
      </c>
      <c r="G105" s="1">
        <v>45839</v>
      </c>
      <c r="H105" s="2">
        <v>357.11667099365985</v>
      </c>
      <c r="I105" s="5">
        <f t="shared" si="14"/>
        <v>3.4855000760937838E-2</v>
      </c>
      <c r="J105" s="5">
        <f t="shared" si="11"/>
        <v>3.5491506676021078E-2</v>
      </c>
      <c r="K105" s="7">
        <f t="shared" si="12"/>
        <v>1.0005903275644989E-4</v>
      </c>
      <c r="M105" s="7">
        <f t="shared" si="15"/>
        <v>9.9999999927158356E-5</v>
      </c>
    </row>
    <row r="106" spans="1:13" x14ac:dyDescent="0.25">
      <c r="A106">
        <f t="shared" si="8"/>
        <v>8.583333333333325</v>
      </c>
      <c r="B106" s="1">
        <v>45870</v>
      </c>
      <c r="C106" s="2">
        <v>358.27346205266105</v>
      </c>
      <c r="D106" s="2">
        <f t="shared" si="9"/>
        <v>4.0636421757946906E-3</v>
      </c>
      <c r="E106" s="5">
        <f t="shared" si="13"/>
        <v>3.4787500401653348E-2</v>
      </c>
      <c r="F106" s="5">
        <f t="shared" si="10"/>
        <v>3.5531037158643253E-2</v>
      </c>
      <c r="G106" s="1">
        <v>45870</v>
      </c>
      <c r="H106" s="2">
        <v>358.57075239098606</v>
      </c>
      <c r="I106" s="5">
        <f t="shared" si="14"/>
        <v>3.4887500401615146E-2</v>
      </c>
      <c r="J106" s="5">
        <f t="shared" si="11"/>
        <v>3.5631109522104687E-2</v>
      </c>
      <c r="K106" s="7">
        <f t="shared" si="12"/>
        <v>1.0007236346143422E-4</v>
      </c>
      <c r="M106" s="7">
        <f t="shared" si="15"/>
        <v>9.9999999961797315E-5</v>
      </c>
    </row>
    <row r="107" spans="1:13" x14ac:dyDescent="0.25">
      <c r="A107">
        <f t="shared" si="8"/>
        <v>8.666666666666659</v>
      </c>
      <c r="B107" s="1">
        <v>45901</v>
      </c>
      <c r="C107" s="2">
        <v>359.96596610485796</v>
      </c>
      <c r="D107" s="2">
        <f t="shared" si="9"/>
        <v>4.7240564302475363E-3</v>
      </c>
      <c r="E107" s="5">
        <f t="shared" si="13"/>
        <v>3.4820001063046391E-2</v>
      </c>
      <c r="F107" s="5">
        <f t="shared" si="10"/>
        <v>3.5746537881733209E-2</v>
      </c>
      <c r="G107" s="1">
        <v>45901</v>
      </c>
      <c r="H107" s="2">
        <v>360.26756155276854</v>
      </c>
      <c r="I107" s="5">
        <f t="shared" si="14"/>
        <v>3.4920001062944461E-2</v>
      </c>
      <c r="J107" s="5">
        <f t="shared" si="11"/>
        <v>3.5846630914864175E-2</v>
      </c>
      <c r="K107" s="7">
        <f t="shared" si="12"/>
        <v>1.0009303313096574E-4</v>
      </c>
      <c r="M107" s="7">
        <f t="shared" si="15"/>
        <v>9.9999999898070513E-5</v>
      </c>
    </row>
    <row r="108" spans="1:13" x14ac:dyDescent="0.25">
      <c r="A108">
        <f t="shared" si="8"/>
        <v>8.7499999999999929</v>
      </c>
      <c r="B108" s="1">
        <v>45931</v>
      </c>
      <c r="C108" s="2">
        <v>360.47310179850609</v>
      </c>
      <c r="D108" s="2">
        <f t="shared" si="9"/>
        <v>1.4088434502177449E-3</v>
      </c>
      <c r="E108" s="5">
        <f t="shared" si="13"/>
        <v>3.4852502745222003E-2</v>
      </c>
      <c r="F108" s="5">
        <f t="shared" si="10"/>
        <v>3.5566745563262003E-2</v>
      </c>
      <c r="G108" s="1">
        <v>45931</v>
      </c>
      <c r="H108" s="2">
        <v>360.77802695044988</v>
      </c>
      <c r="I108" s="5">
        <f t="shared" si="14"/>
        <v>3.4952502744957537E-2</v>
      </c>
      <c r="J108" s="5">
        <f t="shared" si="11"/>
        <v>3.5666821068486509E-2</v>
      </c>
      <c r="K108" s="7">
        <f t="shared" si="12"/>
        <v>1.0007550522450614E-4</v>
      </c>
      <c r="M108" s="7">
        <f t="shared" si="15"/>
        <v>9.9999999735533862E-5</v>
      </c>
    </row>
    <row r="109" spans="1:13" x14ac:dyDescent="0.25">
      <c r="A109">
        <f t="shared" si="8"/>
        <v>8.8333333333333268</v>
      </c>
      <c r="B109" s="1">
        <v>45962</v>
      </c>
      <c r="C109" s="2">
        <v>361.08536207286846</v>
      </c>
      <c r="D109" s="2">
        <f t="shared" si="9"/>
        <v>1.6984908757620154E-3</v>
      </c>
      <c r="E109" s="5">
        <f t="shared" si="13"/>
        <v>3.4885005448212159E-2</v>
      </c>
      <c r="F109" s="5">
        <f t="shared" si="10"/>
        <v>3.5424274508185416E-2</v>
      </c>
      <c r="G109" s="1">
        <v>45962</v>
      </c>
      <c r="H109" s="2">
        <v>361.39371489787231</v>
      </c>
      <c r="I109" s="5">
        <f t="shared" si="14"/>
        <v>3.4985005447686346E-2</v>
      </c>
      <c r="J109" s="5">
        <f t="shared" si="11"/>
        <v>3.5524336095104969E-2</v>
      </c>
      <c r="K109" s="7">
        <f t="shared" si="12"/>
        <v>1.0006158691955314E-4</v>
      </c>
      <c r="M109" s="7">
        <f t="shared" si="15"/>
        <v>9.9999999474187362E-5</v>
      </c>
    </row>
    <row r="110" spans="1:13" x14ac:dyDescent="0.25">
      <c r="A110">
        <f t="shared" si="8"/>
        <v>8.9166666666666607</v>
      </c>
      <c r="B110" s="1">
        <v>45992</v>
      </c>
      <c r="C110" s="2">
        <v>362.50575590439166</v>
      </c>
      <c r="D110" s="2">
        <f t="shared" si="9"/>
        <v>3.9336787937600537E-3</v>
      </c>
      <c r="E110" s="5">
        <f t="shared" si="13"/>
        <v>3.4917509172049277E-2</v>
      </c>
      <c r="F110" s="5">
        <f t="shared" si="10"/>
        <v>3.5543309423466063E-2</v>
      </c>
      <c r="G110" s="1">
        <v>45992</v>
      </c>
      <c r="H110" s="2">
        <v>362.81824292041921</v>
      </c>
      <c r="I110" s="5">
        <f t="shared" si="14"/>
        <v>3.5017509171163308E-2</v>
      </c>
      <c r="J110" s="5">
        <f t="shared" si="11"/>
        <v>3.5643382366369103E-2</v>
      </c>
      <c r="K110" s="7">
        <f t="shared" si="12"/>
        <v>1.0007294290304003E-4</v>
      </c>
      <c r="M110" s="7">
        <f t="shared" si="15"/>
        <v>9.9999999114031013E-5</v>
      </c>
    </row>
    <row r="111" spans="1:13" x14ac:dyDescent="0.25">
      <c r="A111">
        <f t="shared" si="8"/>
        <v>8.9999999999999947</v>
      </c>
      <c r="B111" s="1">
        <v>46023</v>
      </c>
      <c r="C111" s="2">
        <v>361.18901512088473</v>
      </c>
      <c r="D111" s="2">
        <f t="shared" si="9"/>
        <v>-3.6323306928517374E-3</v>
      </c>
      <c r="E111" s="5">
        <f t="shared" si="13"/>
        <v>3.495001391676511E-2</v>
      </c>
      <c r="F111" s="5">
        <f t="shared" si="10"/>
        <v>3.4790000000000099E-2</v>
      </c>
      <c r="G111" s="1">
        <v>46023</v>
      </c>
      <c r="H111" s="2">
        <v>361.50327772334936</v>
      </c>
      <c r="I111" s="5">
        <f t="shared" si="14"/>
        <v>3.5050013915420619E-2</v>
      </c>
      <c r="J111" s="5">
        <f t="shared" si="11"/>
        <v>3.4890000000000088E-2</v>
      </c>
      <c r="K111" s="7">
        <f t="shared" si="12"/>
        <v>9.9999999999988987E-5</v>
      </c>
      <c r="M111" s="7">
        <f t="shared" si="15"/>
        <v>9.9999998655508904E-5</v>
      </c>
    </row>
    <row r="112" spans="1:13" x14ac:dyDescent="0.25">
      <c r="A112">
        <f t="shared" si="8"/>
        <v>9.0833333333333286</v>
      </c>
      <c r="B112" s="1">
        <v>46054</v>
      </c>
      <c r="C112" s="2">
        <v>363.52106397000045</v>
      </c>
      <c r="D112" s="2">
        <f t="shared" si="9"/>
        <v>6.45658852148423E-3</v>
      </c>
      <c r="E112" s="5">
        <f t="shared" si="13"/>
        <v>3.5074196141704039E-2</v>
      </c>
      <c r="F112" s="5">
        <f t="shared" si="10"/>
        <v>3.5198599610842818E-2</v>
      </c>
      <c r="G112" s="1">
        <v>46054</v>
      </c>
      <c r="H112" s="2">
        <v>363.84028087794485</v>
      </c>
      <c r="I112" s="5">
        <f t="shared" si="14"/>
        <v>3.5174196138855862E-2</v>
      </c>
      <c r="J112" s="5">
        <f t="shared" si="11"/>
        <v>3.5298637633865315E-2</v>
      </c>
      <c r="K112" s="7">
        <f t="shared" si="12"/>
        <v>1.0003802302249731E-4</v>
      </c>
      <c r="M112" s="7">
        <f t="shared" si="15"/>
        <v>9.9999997151822839E-5</v>
      </c>
    </row>
    <row r="113" spans="1:13" x14ac:dyDescent="0.25">
      <c r="A113">
        <f t="shared" si="8"/>
        <v>9.1666666666666625</v>
      </c>
      <c r="B113" s="1">
        <v>46082</v>
      </c>
      <c r="C113" s="2">
        <v>365.16185082935942</v>
      </c>
      <c r="D113" s="2">
        <f t="shared" si="9"/>
        <v>4.5135950072328068E-3</v>
      </c>
      <c r="E113" s="5">
        <f t="shared" si="13"/>
        <v>3.5198393267096506E-2</v>
      </c>
      <c r="F113" s="5">
        <f t="shared" si="10"/>
        <v>3.5381638709819363E-2</v>
      </c>
      <c r="G113" s="1">
        <v>46082</v>
      </c>
      <c r="H113" s="2">
        <v>365.48544702129271</v>
      </c>
      <c r="I113" s="5">
        <f t="shared" si="14"/>
        <v>3.5298393261304906E-2</v>
      </c>
      <c r="J113" s="5">
        <f t="shared" si="11"/>
        <v>3.5481692984246305E-2</v>
      </c>
      <c r="K113" s="7">
        <f t="shared" si="12"/>
        <v>1.000542744269417E-4</v>
      </c>
      <c r="M113" s="7">
        <f t="shared" si="15"/>
        <v>9.9999994208399556E-5</v>
      </c>
    </row>
    <row r="114" spans="1:13" x14ac:dyDescent="0.25">
      <c r="A114">
        <f t="shared" si="8"/>
        <v>9.2499999999999964</v>
      </c>
      <c r="B114" s="1">
        <v>46113</v>
      </c>
      <c r="C114" s="2">
        <v>367.7880121153421</v>
      </c>
      <c r="D114" s="2">
        <f t="shared" si="9"/>
        <v>7.1917734013509094E-3</v>
      </c>
      <c r="E114" s="5">
        <f t="shared" si="13"/>
        <v>3.5322605294731302E-2</v>
      </c>
      <c r="F114" s="5">
        <f t="shared" si="10"/>
        <v>3.5859538783918454E-2</v>
      </c>
      <c r="G114" s="1">
        <v>46113</v>
      </c>
      <c r="H114" s="2">
        <v>368.11689516250038</v>
      </c>
      <c r="I114" s="5">
        <f t="shared" si="14"/>
        <v>3.5422605284555431E-2</v>
      </c>
      <c r="J114" s="5">
        <f t="shared" si="11"/>
        <v>3.5959637828672841E-2</v>
      </c>
      <c r="K114" s="7">
        <f t="shared" si="12"/>
        <v>1.0009904475438702E-4</v>
      </c>
      <c r="M114" s="7">
        <f t="shared" si="15"/>
        <v>9.9999989824128832E-5</v>
      </c>
    </row>
    <row r="115" spans="1:13" x14ac:dyDescent="0.25">
      <c r="A115">
        <f t="shared" si="8"/>
        <v>9.3333333333333304</v>
      </c>
      <c r="B115" s="1">
        <v>46143</v>
      </c>
      <c r="C115" s="2">
        <v>369.16352019466007</v>
      </c>
      <c r="D115" s="2">
        <f t="shared" si="9"/>
        <v>3.7399481059936512E-3</v>
      </c>
      <c r="E115" s="5">
        <f t="shared" si="13"/>
        <v>3.5446832226395664E-2</v>
      </c>
      <c r="F115" s="5">
        <f t="shared" si="10"/>
        <v>3.5947998568453432E-2</v>
      </c>
      <c r="G115" s="1">
        <v>46143</v>
      </c>
      <c r="H115" s="2">
        <v>369.49660396481403</v>
      </c>
      <c r="I115" s="5">
        <f t="shared" si="14"/>
        <v>3.5546832210395563E-2</v>
      </c>
      <c r="J115" s="5">
        <f t="shared" si="11"/>
        <v>3.6048104774877521E-2</v>
      </c>
      <c r="K115" s="7">
        <f t="shared" si="12"/>
        <v>1.0010620642408874E-4</v>
      </c>
      <c r="M115" s="7">
        <f t="shared" si="15"/>
        <v>9.9999983999898845E-5</v>
      </c>
    </row>
    <row r="116" spans="1:13" x14ac:dyDescent="0.25">
      <c r="A116">
        <f t="shared" si="8"/>
        <v>9.4166666666666643</v>
      </c>
      <c r="B116" s="1">
        <v>46174</v>
      </c>
      <c r="C116" s="2">
        <v>369.84838862279804</v>
      </c>
      <c r="D116" s="2">
        <f t="shared" si="9"/>
        <v>1.8551898838130576E-3</v>
      </c>
      <c r="E116" s="5">
        <f t="shared" si="13"/>
        <v>3.5571074063878383E-2</v>
      </c>
      <c r="F116" s="5">
        <f t="shared" si="10"/>
        <v>3.5828135369883274E-2</v>
      </c>
      <c r="G116" s="1">
        <v>46174</v>
      </c>
      <c r="H116" s="2">
        <v>370.18506657923297</v>
      </c>
      <c r="I116" s="5">
        <f t="shared" si="14"/>
        <v>3.5671074040612538E-2</v>
      </c>
      <c r="J116" s="5">
        <f t="shared" si="11"/>
        <v>3.5928228631794124E-2</v>
      </c>
      <c r="K116" s="7">
        <f t="shared" si="12"/>
        <v>1.0009326191084966E-4</v>
      </c>
      <c r="M116" s="7">
        <f t="shared" si="15"/>
        <v>9.9999976734155283E-5</v>
      </c>
    </row>
    <row r="117" spans="1:13" x14ac:dyDescent="0.25">
      <c r="A117">
        <f t="shared" si="8"/>
        <v>9.4999999999999982</v>
      </c>
      <c r="B117" s="1">
        <v>46204</v>
      </c>
      <c r="C117" s="2">
        <v>369.56039061091519</v>
      </c>
      <c r="D117" s="2">
        <f t="shared" si="9"/>
        <v>-7.786920823293908E-4</v>
      </c>
      <c r="E117" s="5">
        <f t="shared" si="13"/>
        <v>3.5695330808967585E-2</v>
      </c>
      <c r="F117" s="5">
        <f t="shared" si="10"/>
        <v>3.5423431145684914E-2</v>
      </c>
      <c r="G117" s="1">
        <v>46204</v>
      </c>
      <c r="H117" s="2">
        <v>369.89978035785725</v>
      </c>
      <c r="I117" s="5">
        <f t="shared" si="14"/>
        <v>3.5795330776995149E-2</v>
      </c>
      <c r="J117" s="5">
        <f t="shared" si="11"/>
        <v>3.5523483963139091E-2</v>
      </c>
      <c r="K117" s="7">
        <f t="shared" si="12"/>
        <v>1.0005281745417705E-4</v>
      </c>
      <c r="M117" s="7">
        <f t="shared" si="15"/>
        <v>9.9999968027564279E-5</v>
      </c>
    </row>
    <row r="118" spans="1:13" x14ac:dyDescent="0.25">
      <c r="A118">
        <f t="shared" si="8"/>
        <v>9.5833333333333321</v>
      </c>
      <c r="B118" s="1">
        <v>46235</v>
      </c>
      <c r="C118" s="2">
        <v>371.10667503659221</v>
      </c>
      <c r="D118" s="2">
        <f t="shared" si="9"/>
        <v>4.1841183875817034E-3</v>
      </c>
      <c r="E118" s="5">
        <f t="shared" si="13"/>
        <v>3.5819602463452505E-2</v>
      </c>
      <c r="F118" s="5">
        <f t="shared" si="10"/>
        <v>3.5561144563882152E-2</v>
      </c>
      <c r="G118" s="1">
        <v>46235</v>
      </c>
      <c r="H118" s="2">
        <v>371.45047125678803</v>
      </c>
      <c r="I118" s="5">
        <f t="shared" si="14"/>
        <v>3.5919602421331742E-2</v>
      </c>
      <c r="J118" s="5">
        <f t="shared" si="11"/>
        <v>3.5661209374226122E-2</v>
      </c>
      <c r="K118" s="7">
        <f t="shared" si="12"/>
        <v>1.0006481034396941E-4</v>
      </c>
      <c r="M118" s="7">
        <f t="shared" si="15"/>
        <v>9.9999957879237655E-5</v>
      </c>
    </row>
    <row r="119" spans="1:13" x14ac:dyDescent="0.25">
      <c r="A119">
        <f t="shared" si="8"/>
        <v>9.6666666666666661</v>
      </c>
      <c r="B119" s="1">
        <v>46266</v>
      </c>
      <c r="C119" s="2">
        <v>372.90454284479159</v>
      </c>
      <c r="D119" s="2">
        <f t="shared" si="9"/>
        <v>4.8446118842300212E-3</v>
      </c>
      <c r="E119" s="5">
        <f t="shared" si="13"/>
        <v>3.5943889029121712E-2</v>
      </c>
      <c r="F119" s="5">
        <f t="shared" si="10"/>
        <v>3.576695177408884E-2</v>
      </c>
      <c r="G119" s="1">
        <v>46266</v>
      </c>
      <c r="H119" s="2">
        <v>373.25300554281836</v>
      </c>
      <c r="I119" s="5">
        <f t="shared" si="14"/>
        <v>3.6043888975410443E-2</v>
      </c>
      <c r="J119" s="5">
        <f t="shared" si="11"/>
        <v>3.5867035179359075E-2</v>
      </c>
      <c r="K119" s="7">
        <f t="shared" si="12"/>
        <v>1.0008340527023485E-4</v>
      </c>
      <c r="M119" s="7">
        <f t="shared" si="15"/>
        <v>9.9999946288731323E-5</v>
      </c>
    </row>
    <row r="120" spans="1:13" x14ac:dyDescent="0.25">
      <c r="A120">
        <f t="shared" si="8"/>
        <v>9.75</v>
      </c>
      <c r="B120" s="1">
        <v>46296</v>
      </c>
      <c r="C120" s="2">
        <v>373.47471430709942</v>
      </c>
      <c r="D120" s="2">
        <f t="shared" si="9"/>
        <v>1.5290011163664463E-3</v>
      </c>
      <c r="E120" s="5">
        <f t="shared" si="13"/>
        <v>3.6068190507764664E-2</v>
      </c>
      <c r="F120" s="5">
        <f t="shared" si="10"/>
        <v>3.5618164642666095E-2</v>
      </c>
      <c r="G120" s="1">
        <v>46296</v>
      </c>
      <c r="H120" s="2">
        <v>373.82671533612938</v>
      </c>
      <c r="I120" s="5">
        <f t="shared" si="14"/>
        <v>3.6168190441020487E-2</v>
      </c>
      <c r="J120" s="5">
        <f t="shared" si="11"/>
        <v>3.5718232401364736E-2</v>
      </c>
      <c r="K120" s="7">
        <f t="shared" si="12"/>
        <v>1.0006775869864093E-4</v>
      </c>
      <c r="M120" s="7">
        <f t="shared" si="15"/>
        <v>9.9999933255823237E-5</v>
      </c>
    </row>
    <row r="121" spans="1:13" x14ac:dyDescent="0.25">
      <c r="A121">
        <f t="shared" si="8"/>
        <v>9.8333333333333339</v>
      </c>
      <c r="B121" s="1">
        <v>46327</v>
      </c>
      <c r="C121" s="2">
        <v>374.1539465316024</v>
      </c>
      <c r="D121" s="2">
        <f t="shared" si="9"/>
        <v>1.8186832963060784E-3</v>
      </c>
      <c r="E121" s="5">
        <f t="shared" si="13"/>
        <v>3.6192506901170596E-2</v>
      </c>
      <c r="F121" s="5">
        <f t="shared" si="10"/>
        <v>3.5502373813357746E-2</v>
      </c>
      <c r="G121" s="1">
        <v>46327</v>
      </c>
      <c r="H121" s="2">
        <v>374.50959876049075</v>
      </c>
      <c r="I121" s="5">
        <f t="shared" si="14"/>
        <v>3.6292506819950887E-2</v>
      </c>
      <c r="J121" s="5">
        <f t="shared" si="11"/>
        <v>3.560242913563072E-2</v>
      </c>
      <c r="K121" s="7">
        <f t="shared" si="12"/>
        <v>1.0005532227297387E-4</v>
      </c>
      <c r="M121" s="7">
        <f t="shared" si="15"/>
        <v>9.9999918780291353E-5</v>
      </c>
    </row>
    <row r="122" spans="1:13" x14ac:dyDescent="0.25">
      <c r="A122">
        <f t="shared" si="8"/>
        <v>9.9166666666666679</v>
      </c>
      <c r="B122" s="1">
        <v>46357</v>
      </c>
      <c r="C122" s="2">
        <v>375.67081879217449</v>
      </c>
      <c r="D122" s="2">
        <f t="shared" si="9"/>
        <v>4.0541394114199658E-3</v>
      </c>
      <c r="E122" s="5">
        <f t="shared" si="13"/>
        <v>3.6316838211128966E-2</v>
      </c>
      <c r="F122" s="5">
        <f t="shared" si="10"/>
        <v>3.5621286143358022E-2</v>
      </c>
      <c r="G122" s="1">
        <v>46357</v>
      </c>
      <c r="H122" s="2">
        <v>376.03093613765469</v>
      </c>
      <c r="I122" s="5">
        <f t="shared" si="14"/>
        <v>3.6416838113990657E-2</v>
      </c>
      <c r="J122" s="5">
        <f t="shared" si="11"/>
        <v>3.5721351728350337E-2</v>
      </c>
      <c r="K122" s="7">
        <f t="shared" si="12"/>
        <v>1.0006558499231488E-4</v>
      </c>
      <c r="M122" s="7">
        <f t="shared" si="15"/>
        <v>9.9999902861691581E-5</v>
      </c>
    </row>
    <row r="123" spans="1:13" x14ac:dyDescent="0.25">
      <c r="A123">
        <f t="shared" si="8"/>
        <v>10.000000000000002</v>
      </c>
      <c r="B123" s="1">
        <v>46388</v>
      </c>
      <c r="C123" s="2">
        <v>374.35117063840073</v>
      </c>
      <c r="D123" s="2">
        <f t="shared" si="9"/>
        <v>-3.5127779102368528E-3</v>
      </c>
      <c r="E123" s="5">
        <f t="shared" si="13"/>
        <v>3.6441184439429453E-2</v>
      </c>
      <c r="F123" s="5">
        <f t="shared" si="10"/>
        <v>3.4955000000000069E-2</v>
      </c>
      <c r="G123" s="1">
        <v>46388</v>
      </c>
      <c r="H123" s="2">
        <v>374.71303562870435</v>
      </c>
      <c r="I123" s="5">
        <f t="shared" si="14"/>
        <v>3.6541184324929255E-2</v>
      </c>
      <c r="J123" s="5">
        <f t="shared" si="11"/>
        <v>3.5055000000000058E-2</v>
      </c>
      <c r="K123" s="7">
        <f t="shared" si="12"/>
        <v>9.9999999999988987E-5</v>
      </c>
      <c r="M123" s="7">
        <f t="shared" si="15"/>
        <v>9.9999885499801877E-5</v>
      </c>
    </row>
    <row r="124" spans="1:13" x14ac:dyDescent="0.25">
      <c r="A124">
        <f t="shared" si="8"/>
        <v>10.083333333333336</v>
      </c>
      <c r="B124" s="1">
        <v>46419</v>
      </c>
      <c r="C124" s="2">
        <v>376.73899999782878</v>
      </c>
      <c r="D124" s="2">
        <f t="shared" si="9"/>
        <v>6.3785812539491893E-3</v>
      </c>
      <c r="E124" s="5">
        <f t="shared" si="13"/>
        <v>3.6360853160682716E-2</v>
      </c>
      <c r="F124" s="5">
        <f t="shared" si="10"/>
        <v>3.5313806178337126E-2</v>
      </c>
      <c r="G124" s="1">
        <v>46419</v>
      </c>
      <c r="H124" s="2">
        <v>377.10620789564291</v>
      </c>
      <c r="I124" s="5">
        <f t="shared" si="14"/>
        <v>3.6460853058071008E-2</v>
      </c>
      <c r="J124" s="5">
        <f t="shared" si="11"/>
        <v>3.5413840429748822E-2</v>
      </c>
      <c r="K124" s="7">
        <f t="shared" si="12"/>
        <v>1.0003425141169586E-4</v>
      </c>
      <c r="M124" s="7">
        <f t="shared" si="15"/>
        <v>9.9999897388292069E-5</v>
      </c>
    </row>
    <row r="125" spans="1:13" x14ac:dyDescent="0.25">
      <c r="A125">
        <f t="shared" si="8"/>
        <v>10.16666666666667</v>
      </c>
      <c r="B125" s="1">
        <v>46447</v>
      </c>
      <c r="C125" s="2">
        <v>378.41011562240152</v>
      </c>
      <c r="D125" s="2">
        <f t="shared" si="9"/>
        <v>4.4357383349808988E-3</v>
      </c>
      <c r="E125" s="5">
        <f t="shared" si="13"/>
        <v>3.6280528108159515E-2</v>
      </c>
      <c r="F125" s="5">
        <f t="shared" si="10"/>
        <v>3.5470019474708181E-2</v>
      </c>
      <c r="G125" s="1">
        <v>46447</v>
      </c>
      <c r="H125" s="2">
        <v>378.78200056639582</v>
      </c>
      <c r="I125" s="5">
        <f t="shared" si="14"/>
        <v>3.6380528016833669E-2</v>
      </c>
      <c r="J125" s="5">
        <f t="shared" si="11"/>
        <v>3.5570068409206179E-2</v>
      </c>
      <c r="K125" s="7">
        <f t="shared" si="12"/>
        <v>1.0004893449799823E-4</v>
      </c>
      <c r="M125" s="7">
        <f t="shared" si="15"/>
        <v>9.9999908674153204E-5</v>
      </c>
    </row>
    <row r="126" spans="1:13" x14ac:dyDescent="0.25">
      <c r="A126">
        <f t="shared" si="8"/>
        <v>10.250000000000004</v>
      </c>
      <c r="B126" s="1">
        <v>46478</v>
      </c>
      <c r="C126" s="2">
        <v>381.10201512509906</v>
      </c>
      <c r="D126" s="2">
        <f t="shared" si="9"/>
        <v>7.1137091519606344E-3</v>
      </c>
      <c r="E126" s="5">
        <f t="shared" si="13"/>
        <v>3.6200209281376905E-2</v>
      </c>
      <c r="F126" s="5">
        <f t="shared" si="10"/>
        <v>3.5892769998936869E-2</v>
      </c>
      <c r="G126" s="1">
        <v>46478</v>
      </c>
      <c r="H126" s="2">
        <v>381.47961546722411</v>
      </c>
      <c r="I126" s="5">
        <f t="shared" si="14"/>
        <v>3.6300209200734734E-2</v>
      </c>
      <c r="J126" s="5">
        <f t="shared" si="11"/>
        <v>3.5992859376265729E-2</v>
      </c>
      <c r="K126" s="7">
        <f t="shared" si="12"/>
        <v>1.0008937732886025E-4</v>
      </c>
      <c r="M126" s="7">
        <f t="shared" si="15"/>
        <v>9.999991935782937E-5</v>
      </c>
    </row>
    <row r="127" spans="1:13" x14ac:dyDescent="0.25">
      <c r="A127">
        <f t="shared" si="8"/>
        <v>10.333333333333337</v>
      </c>
      <c r="B127" s="1">
        <v>46508</v>
      </c>
      <c r="C127" s="2">
        <v>382.497668402062</v>
      </c>
      <c r="D127" s="2">
        <f t="shared" si="9"/>
        <v>3.6621513966668129E-3</v>
      </c>
      <c r="E127" s="5">
        <f t="shared" si="13"/>
        <v>3.6119896679853047E-2</v>
      </c>
      <c r="F127" s="5">
        <f t="shared" si="10"/>
        <v>3.596463262307914E-2</v>
      </c>
      <c r="G127" s="1">
        <v>46508</v>
      </c>
      <c r="H127" s="2">
        <v>382.87973275790404</v>
      </c>
      <c r="I127" s="5">
        <f t="shared" si="14"/>
        <v>3.6219896609291924E-2</v>
      </c>
      <c r="J127" s="5">
        <f t="shared" si="11"/>
        <v>3.6064728546294722E-2</v>
      </c>
      <c r="K127" s="7">
        <f t="shared" si="12"/>
        <v>1.0009592321558181E-4</v>
      </c>
      <c r="M127" s="7">
        <f t="shared" si="15"/>
        <v>9.9999929438876478E-5</v>
      </c>
    </row>
    <row r="128" spans="1:13" x14ac:dyDescent="0.25">
      <c r="A128">
        <f t="shared" si="8"/>
        <v>10.416666666666671</v>
      </c>
      <c r="B128" s="1">
        <v>46539</v>
      </c>
      <c r="C128" s="2">
        <v>383.17757302302709</v>
      </c>
      <c r="D128" s="2">
        <f t="shared" si="9"/>
        <v>1.7775392561358849E-3</v>
      </c>
      <c r="E128" s="5">
        <f t="shared" si="13"/>
        <v>3.6039590303104552E-2</v>
      </c>
      <c r="F128" s="5">
        <f t="shared" si="10"/>
        <v>3.584843317062969E-2</v>
      </c>
      <c r="G128" s="1">
        <v>46539</v>
      </c>
      <c r="H128" s="2">
        <v>383.56340319912226</v>
      </c>
      <c r="I128" s="5">
        <f t="shared" si="14"/>
        <v>3.6139590242022512E-2</v>
      </c>
      <c r="J128" s="5">
        <f t="shared" si="11"/>
        <v>3.5948517475366648E-2</v>
      </c>
      <c r="K128" s="7">
        <f t="shared" si="12"/>
        <v>1.0008430473695817E-4</v>
      </c>
      <c r="M128" s="7">
        <f t="shared" si="15"/>
        <v>9.9999938917960662E-5</v>
      </c>
    </row>
    <row r="129" spans="1:13" x14ac:dyDescent="0.25">
      <c r="A129">
        <f t="shared" si="8"/>
        <v>10.500000000000005</v>
      </c>
      <c r="B129" s="1">
        <v>46569</v>
      </c>
      <c r="C129" s="2">
        <v>382.84951992508053</v>
      </c>
      <c r="D129" s="2">
        <f t="shared" si="9"/>
        <v>-8.5613856614419337E-4</v>
      </c>
      <c r="E129" s="5">
        <f t="shared" si="13"/>
        <v>3.5959290150649803E-2</v>
      </c>
      <c r="F129" s="5">
        <f t="shared" si="10"/>
        <v>3.5474453392479344E-2</v>
      </c>
      <c r="G129" s="1">
        <v>46569</v>
      </c>
      <c r="H129" s="2">
        <v>383.238103845132</v>
      </c>
      <c r="I129" s="5">
        <f t="shared" si="14"/>
        <v>3.6059290098444219E-2</v>
      </c>
      <c r="J129" s="5">
        <f t="shared" si="11"/>
        <v>3.5574501178237572E-2</v>
      </c>
      <c r="K129" s="7">
        <f t="shared" si="12"/>
        <v>1.0004778575822826E-4</v>
      </c>
      <c r="M129" s="7">
        <f t="shared" si="15"/>
        <v>9.9999947794415789E-5</v>
      </c>
    </row>
    <row r="130" spans="1:13" x14ac:dyDescent="0.25">
      <c r="A130">
        <f t="shared" si="8"/>
        <v>10.583333333333339</v>
      </c>
      <c r="B130" s="1">
        <v>46600</v>
      </c>
      <c r="C130" s="2">
        <v>384.42161002819108</v>
      </c>
      <c r="D130" s="2">
        <f t="shared" si="9"/>
        <v>4.1062872520205573E-3</v>
      </c>
      <c r="E130" s="5">
        <f t="shared" si="13"/>
        <v>3.587899622200541E-2</v>
      </c>
      <c r="F130" s="5">
        <f t="shared" si="10"/>
        <v>3.5591173618596095E-2</v>
      </c>
      <c r="G130" s="1">
        <v>46600</v>
      </c>
      <c r="H130" s="2">
        <v>384.81488634248012</v>
      </c>
      <c r="I130" s="5">
        <f t="shared" si="14"/>
        <v>3.5978996178074762E-2</v>
      </c>
      <c r="J130" s="5">
        <f t="shared" si="11"/>
        <v>3.5691232303082465E-2</v>
      </c>
      <c r="K130" s="7">
        <f t="shared" si="12"/>
        <v>1.0005868448637045E-4</v>
      </c>
      <c r="M130" s="7">
        <f t="shared" si="15"/>
        <v>9.9999956069352081E-5</v>
      </c>
    </row>
    <row r="131" spans="1:13" x14ac:dyDescent="0.25">
      <c r="A131">
        <f t="shared" si="8"/>
        <v>10.666666666666673</v>
      </c>
      <c r="B131" s="1">
        <v>46631</v>
      </c>
      <c r="C131" s="2">
        <v>386.25404387864165</v>
      </c>
      <c r="D131" s="2">
        <f t="shared" si="9"/>
        <v>4.7667295559066236E-3</v>
      </c>
      <c r="E131" s="5">
        <f t="shared" si="13"/>
        <v>3.5798708516689537E-2</v>
      </c>
      <c r="F131" s="5">
        <f t="shared" si="10"/>
        <v>3.5769928927346761E-2</v>
      </c>
      <c r="G131" s="1">
        <v>46631</v>
      </c>
      <c r="H131" s="2">
        <v>386.65230637824504</v>
      </c>
      <c r="I131" s="5">
        <f t="shared" si="14"/>
        <v>3.5898708480431862E-2</v>
      </c>
      <c r="J131" s="5">
        <f t="shared" si="11"/>
        <v>3.5870004510194731E-2</v>
      </c>
      <c r="K131" s="7">
        <f t="shared" si="12"/>
        <v>1.0007558284796936E-4</v>
      </c>
      <c r="M131" s="7">
        <f t="shared" si="15"/>
        <v>9.9999963742325448E-5</v>
      </c>
    </row>
    <row r="132" spans="1:13" x14ac:dyDescent="0.25">
      <c r="A132">
        <f t="shared" si="8"/>
        <v>10.750000000000007</v>
      </c>
      <c r="B132" s="1">
        <v>46661</v>
      </c>
      <c r="C132" s="2">
        <v>386.81464363920378</v>
      </c>
      <c r="D132" s="2">
        <f t="shared" si="9"/>
        <v>1.4513757705492125E-3</v>
      </c>
      <c r="E132" s="5">
        <f t="shared" si="13"/>
        <v>3.5718427034220124E-2</v>
      </c>
      <c r="F132" s="5">
        <f t="shared" si="10"/>
        <v>3.5627490967307995E-2</v>
      </c>
      <c r="G132" s="1">
        <v>46661</v>
      </c>
      <c r="H132" s="2">
        <v>387.21660025192796</v>
      </c>
      <c r="I132" s="5">
        <f t="shared" si="14"/>
        <v>3.581842700503346E-2</v>
      </c>
      <c r="J132" s="5">
        <f t="shared" si="11"/>
        <v>3.5727552420749653E-2</v>
      </c>
      <c r="K132" s="7">
        <f t="shared" si="12"/>
        <v>1.0006145344165773E-4</v>
      </c>
      <c r="M132" s="7">
        <f t="shared" si="15"/>
        <v>9.9999970813335892E-5</v>
      </c>
    </row>
    <row r="133" spans="1:13" x14ac:dyDescent="0.25">
      <c r="A133">
        <f t="shared" ref="A133:A196" si="16">A132+1/12</f>
        <v>10.833333333333341</v>
      </c>
      <c r="B133" s="1">
        <v>46692</v>
      </c>
      <c r="C133" s="2">
        <v>387.48810166497964</v>
      </c>
      <c r="D133" s="2">
        <f t="shared" ref="D133:D196" si="17">C133/C132-1</f>
        <v>1.7410354981390874E-3</v>
      </c>
      <c r="E133" s="5">
        <f t="shared" si="13"/>
        <v>3.5638151774114668E-2</v>
      </c>
      <c r="F133" s="5">
        <f t="shared" ref="F133:F196" si="18">(C133/$C$3)^(1/A133)-1</f>
        <v>3.5514906417789094E-2</v>
      </c>
      <c r="G133" s="1">
        <v>46692</v>
      </c>
      <c r="H133" s="2">
        <v>387.89387963334792</v>
      </c>
      <c r="I133" s="5">
        <f t="shared" si="14"/>
        <v>3.5738151751396829E-2</v>
      </c>
      <c r="J133" s="5">
        <f t="shared" ref="J133:J196" si="19">(H133/$H$3)^(1/A133)-1</f>
        <v>3.5614956631973671E-2</v>
      </c>
      <c r="K133" s="7">
        <f t="shared" ref="K133:K196" si="20">J133-F133</f>
        <v>1.0005021418457716E-4</v>
      </c>
      <c r="M133" s="7">
        <f t="shared" si="15"/>
        <v>9.9999977282161367E-5</v>
      </c>
    </row>
    <row r="134" spans="1:13" x14ac:dyDescent="0.25">
      <c r="A134">
        <f t="shared" si="16"/>
        <v>10.916666666666675</v>
      </c>
      <c r="B134" s="1">
        <v>46722</v>
      </c>
      <c r="C134" s="2">
        <v>389.02887771408257</v>
      </c>
      <c r="D134" s="2">
        <f t="shared" si="17"/>
        <v>3.9763183501182464E-3</v>
      </c>
      <c r="E134" s="5">
        <f t="shared" si="13"/>
        <v>3.5557882735890445E-2</v>
      </c>
      <c r="F134" s="5">
        <f t="shared" si="18"/>
        <v>3.5615478036126635E-2</v>
      </c>
      <c r="G134" s="1">
        <v>46722</v>
      </c>
      <c r="H134" s="2">
        <v>389.43940315718208</v>
      </c>
      <c r="I134" s="5">
        <f t="shared" si="14"/>
        <v>3.5657882719040135E-2</v>
      </c>
      <c r="J134" s="5">
        <f t="shared" si="19"/>
        <v>3.5715537611471282E-2</v>
      </c>
      <c r="K134" s="7">
        <f t="shared" si="20"/>
        <v>1.0005957534464649E-4</v>
      </c>
      <c r="M134" s="7">
        <f t="shared" si="15"/>
        <v>9.9999983149690053E-5</v>
      </c>
    </row>
    <row r="135" spans="1:13" x14ac:dyDescent="0.25">
      <c r="A135">
        <f t="shared" si="16"/>
        <v>11.000000000000009</v>
      </c>
      <c r="B135" s="1">
        <v>46753</v>
      </c>
      <c r="C135" s="2">
        <v>387.63225918656735</v>
      </c>
      <c r="D135" s="2">
        <f t="shared" si="17"/>
        <v>-3.5900124837048297E-3</v>
      </c>
      <c r="E135" s="5">
        <f t="shared" si="13"/>
        <v>3.5477619919066061E-2</v>
      </c>
      <c r="F135" s="5">
        <f t="shared" si="18"/>
        <v>3.5002500000000047E-2</v>
      </c>
      <c r="G135" s="1">
        <v>46753</v>
      </c>
      <c r="H135" s="2">
        <v>388.04443358468023</v>
      </c>
      <c r="I135" s="5">
        <f t="shared" si="14"/>
        <v>3.5577619907479541E-2</v>
      </c>
      <c r="J135" s="5">
        <f t="shared" si="19"/>
        <v>3.5102500000000036E-2</v>
      </c>
      <c r="K135" s="7">
        <f t="shared" si="20"/>
        <v>9.9999999999988987E-5</v>
      </c>
      <c r="M135" s="7">
        <f t="shared" si="15"/>
        <v>9.9999988413479457E-5</v>
      </c>
    </row>
    <row r="136" spans="1:13" x14ac:dyDescent="0.25">
      <c r="A136">
        <f t="shared" si="16"/>
        <v>11.083333333333343</v>
      </c>
      <c r="B136" s="1">
        <v>46784</v>
      </c>
      <c r="C136" s="2">
        <v>390.10778619288538</v>
      </c>
      <c r="D136" s="2">
        <f t="shared" si="17"/>
        <v>6.3862770645375377E-3</v>
      </c>
      <c r="E136" s="5">
        <f t="shared" si="13"/>
        <v>3.548553825097378E-2</v>
      </c>
      <c r="F136" s="5">
        <f t="shared" si="18"/>
        <v>3.5329299632421929E-2</v>
      </c>
      <c r="G136" s="1">
        <v>46784</v>
      </c>
      <c r="H136" s="2">
        <v>390.52573527696291</v>
      </c>
      <c r="I136" s="5">
        <f t="shared" si="14"/>
        <v>3.5585538239226278E-2</v>
      </c>
      <c r="J136" s="5">
        <f t="shared" si="19"/>
        <v>3.5429330793000036E-2</v>
      </c>
      <c r="K136" s="7">
        <f t="shared" si="20"/>
        <v>1.0003116057810679E-4</v>
      </c>
      <c r="M136" s="7">
        <f t="shared" si="15"/>
        <v>9.9999988252497118E-5</v>
      </c>
    </row>
    <row r="137" spans="1:13" x14ac:dyDescent="0.25">
      <c r="A137">
        <f t="shared" si="16"/>
        <v>11.166666666666677</v>
      </c>
      <c r="B137" s="1">
        <v>46813</v>
      </c>
      <c r="C137" s="2">
        <v>391.84119865468193</v>
      </c>
      <c r="D137" s="2">
        <f t="shared" si="17"/>
        <v>4.4434192885847157E-3</v>
      </c>
      <c r="E137" s="5">
        <f t="shared" si="13"/>
        <v>3.549345664343373E-2</v>
      </c>
      <c r="F137" s="5">
        <f t="shared" si="18"/>
        <v>3.54721183040132E-2</v>
      </c>
      <c r="G137" s="1">
        <v>46813</v>
      </c>
      <c r="H137" s="2">
        <v>392.26416127635582</v>
      </c>
      <c r="I137" s="5">
        <f t="shared" si="14"/>
        <v>3.5593456631519027E-2</v>
      </c>
      <c r="J137" s="5">
        <f t="shared" si="19"/>
        <v>3.5572162855342482E-2</v>
      </c>
      <c r="K137" s="7">
        <f t="shared" si="20"/>
        <v>1.0004455132928136E-4</v>
      </c>
      <c r="M137" s="7">
        <f t="shared" si="15"/>
        <v>9.9999988085297531E-5</v>
      </c>
    </row>
    <row r="138" spans="1:13" x14ac:dyDescent="0.25">
      <c r="A138">
        <f t="shared" si="16"/>
        <v>11.250000000000011</v>
      </c>
      <c r="B138" s="1">
        <v>46844</v>
      </c>
      <c r="C138" s="2">
        <v>394.63166071406653</v>
      </c>
      <c r="D138" s="2">
        <f t="shared" si="17"/>
        <v>7.1214105840966546E-3</v>
      </c>
      <c r="E138" s="5">
        <f t="shared" si="13"/>
        <v>3.5501375096445686E-2</v>
      </c>
      <c r="F138" s="5">
        <f t="shared" si="18"/>
        <v>3.5857973351184791E-2</v>
      </c>
      <c r="G138" s="1">
        <v>46844</v>
      </c>
      <c r="H138" s="2">
        <v>395.06081434450937</v>
      </c>
      <c r="I138" s="5">
        <f t="shared" si="14"/>
        <v>3.5601375084357789E-2</v>
      </c>
      <c r="J138" s="5">
        <f t="shared" si="19"/>
        <v>3.5958054780630189E-2</v>
      </c>
      <c r="K138" s="7">
        <f t="shared" si="20"/>
        <v>1.0008142944539777E-4</v>
      </c>
      <c r="M138" s="7">
        <f t="shared" si="15"/>
        <v>9.9999987912102739E-5</v>
      </c>
    </row>
    <row r="139" spans="1:13" x14ac:dyDescent="0.25">
      <c r="A139">
        <f t="shared" si="16"/>
        <v>11.333333333333345</v>
      </c>
      <c r="B139" s="1">
        <v>46874</v>
      </c>
      <c r="C139" s="2">
        <v>396.07989041449508</v>
      </c>
      <c r="D139" s="2">
        <f t="shared" si="17"/>
        <v>3.6698264346253229E-3</v>
      </c>
      <c r="E139" s="5">
        <f t="shared" si="13"/>
        <v>3.5509293610010095E-2</v>
      </c>
      <c r="F139" s="5">
        <f t="shared" si="18"/>
        <v>3.5924447598636666E-2</v>
      </c>
      <c r="G139" s="1">
        <v>46874</v>
      </c>
      <c r="H139" s="2">
        <v>396.51380957430587</v>
      </c>
      <c r="I139" s="5">
        <f t="shared" si="14"/>
        <v>3.5609293597743674E-2</v>
      </c>
      <c r="J139" s="5">
        <f t="shared" si="19"/>
        <v>3.6024535054341111E-2</v>
      </c>
      <c r="K139" s="7">
        <f t="shared" si="20"/>
        <v>1.0008745570444511E-4</v>
      </c>
      <c r="M139" s="7">
        <f t="shared" si="15"/>
        <v>9.9999987733578877E-5</v>
      </c>
    </row>
    <row r="140" spans="1:13" x14ac:dyDescent="0.25">
      <c r="A140">
        <f t="shared" si="16"/>
        <v>11.416666666666679</v>
      </c>
      <c r="B140" s="1">
        <v>46905</v>
      </c>
      <c r="C140" s="2">
        <v>396.78697218828506</v>
      </c>
      <c r="D140" s="2">
        <f t="shared" si="17"/>
        <v>1.785199882402555E-3</v>
      </c>
      <c r="E140" s="5">
        <f t="shared" si="13"/>
        <v>3.5517212184127844E-2</v>
      </c>
      <c r="F140" s="5">
        <f t="shared" si="18"/>
        <v>3.5819416880419119E-2</v>
      </c>
      <c r="G140" s="1">
        <v>46905</v>
      </c>
      <c r="H140" s="2">
        <v>397.22486231215572</v>
      </c>
      <c r="I140" s="5">
        <f t="shared" si="14"/>
        <v>3.561721217167646E-2</v>
      </c>
      <c r="J140" s="5">
        <f t="shared" si="19"/>
        <v>3.5919493797962332E-2</v>
      </c>
      <c r="K140" s="7">
        <f t="shared" si="20"/>
        <v>1.0007691754321257E-4</v>
      </c>
      <c r="M140" s="7">
        <f t="shared" si="15"/>
        <v>9.9999987548615721E-5</v>
      </c>
    </row>
    <row r="141" spans="1:13" x14ac:dyDescent="0.25">
      <c r="A141">
        <f t="shared" si="16"/>
        <v>11.500000000000012</v>
      </c>
      <c r="B141" s="1">
        <v>46935</v>
      </c>
      <c r="C141" s="2">
        <v>396.45029920433336</v>
      </c>
      <c r="D141" s="2">
        <f t="shared" si="17"/>
        <v>-8.4849807969988866E-4</v>
      </c>
      <c r="E141" s="5">
        <f t="shared" si="13"/>
        <v>3.5525130818798933E-2</v>
      </c>
      <c r="F141" s="5">
        <f t="shared" si="18"/>
        <v>3.5478860026747272E-2</v>
      </c>
      <c r="G141" s="1">
        <v>46935</v>
      </c>
      <c r="H141" s="2">
        <v>396.89101142451852</v>
      </c>
      <c r="I141" s="5">
        <f t="shared" si="14"/>
        <v>3.5625130806157257E-2</v>
      </c>
      <c r="J141" s="5">
        <f t="shared" si="19"/>
        <v>3.5578903656318106E-2</v>
      </c>
      <c r="K141" s="7">
        <f t="shared" si="20"/>
        <v>1.0004362957083401E-4</v>
      </c>
      <c r="M141" s="7">
        <f t="shared" si="15"/>
        <v>9.9999987358323494E-5</v>
      </c>
    </row>
    <row r="142" spans="1:13" x14ac:dyDescent="0.25">
      <c r="A142">
        <f t="shared" si="16"/>
        <v>11.583333333333346</v>
      </c>
      <c r="B142" s="1">
        <v>46966</v>
      </c>
      <c r="C142" s="2">
        <v>398.08128213158375</v>
      </c>
      <c r="D142" s="2">
        <f t="shared" si="17"/>
        <v>4.1139656863009577E-3</v>
      </c>
      <c r="E142" s="5">
        <f t="shared" si="13"/>
        <v>3.5533049514024251E-2</v>
      </c>
      <c r="F142" s="5">
        <f t="shared" si="18"/>
        <v>3.5586155581621259E-2</v>
      </c>
      <c r="G142" s="1">
        <v>46966</v>
      </c>
      <c r="H142" s="2">
        <v>398.52701423631504</v>
      </c>
      <c r="I142" s="5">
        <f t="shared" si="14"/>
        <v>3.5633049501186065E-2</v>
      </c>
      <c r="J142" s="5">
        <f t="shared" si="19"/>
        <v>3.5686209198465324E-2</v>
      </c>
      <c r="K142" s="7">
        <f t="shared" si="20"/>
        <v>1.0005361684406466E-4</v>
      </c>
      <c r="M142" s="7">
        <f t="shared" si="15"/>
        <v>9.9999987161814019E-5</v>
      </c>
    </row>
    <row r="143" spans="1:13" x14ac:dyDescent="0.25">
      <c r="A143">
        <f t="shared" si="16"/>
        <v>11.66666666666668</v>
      </c>
      <c r="B143" s="1">
        <v>46997</v>
      </c>
      <c r="C143" s="2">
        <v>399.98188659621604</v>
      </c>
      <c r="D143" s="2">
        <f t="shared" si="17"/>
        <v>4.774413040611325E-3</v>
      </c>
      <c r="E143" s="5">
        <f t="shared" si="13"/>
        <v>3.5540968269804241E-2</v>
      </c>
      <c r="F143" s="5">
        <f t="shared" si="18"/>
        <v>3.5750301744662316E-2</v>
      </c>
      <c r="G143" s="1">
        <v>46997</v>
      </c>
      <c r="H143" s="2">
        <v>400.43296895627662</v>
      </c>
      <c r="I143" s="5">
        <f t="shared" si="14"/>
        <v>3.5640968256763994E-2</v>
      </c>
      <c r="J143" s="5">
        <f t="shared" si="19"/>
        <v>3.5850370846744584E-2</v>
      </c>
      <c r="K143" s="7">
        <f t="shared" si="20"/>
        <v>1.0006910208226749E-4</v>
      </c>
      <c r="M143" s="7">
        <f t="shared" si="15"/>
        <v>9.9999986959753429E-5</v>
      </c>
    </row>
    <row r="144" spans="1:13" x14ac:dyDescent="0.25">
      <c r="A144">
        <f t="shared" si="16"/>
        <v>11.750000000000014</v>
      </c>
      <c r="B144" s="1">
        <v>47027</v>
      </c>
      <c r="C144" s="2">
        <v>400.56547372919897</v>
      </c>
      <c r="D144" s="2">
        <f t="shared" si="17"/>
        <v>1.4590339026328003E-3</v>
      </c>
      <c r="E144" s="5">
        <f t="shared" ref="E144:E207" si="21">C144/C132-1</f>
        <v>3.5548887086139125E-2</v>
      </c>
      <c r="F144" s="5">
        <f t="shared" si="18"/>
        <v>3.562080104301546E-2</v>
      </c>
      <c r="G144" s="1">
        <v>47027</v>
      </c>
      <c r="H144" s="2">
        <v>401.02044110705759</v>
      </c>
      <c r="I144" s="5">
        <f t="shared" ref="I144:I207" si="22">H144/H132-1</f>
        <v>3.56488870728906E-2</v>
      </c>
      <c r="J144" s="5">
        <f t="shared" si="19"/>
        <v>3.572085726490859E-2</v>
      </c>
      <c r="K144" s="7">
        <f t="shared" si="20"/>
        <v>1.0005622189313002E-4</v>
      </c>
      <c r="M144" s="7">
        <f t="shared" ref="M144:M207" si="23">I144-E144</f>
        <v>9.9999986751475589E-5</v>
      </c>
    </row>
    <row r="145" spans="1:13" x14ac:dyDescent="0.25">
      <c r="A145">
        <f t="shared" si="16"/>
        <v>11.833333333333348</v>
      </c>
      <c r="B145" s="1">
        <v>47058</v>
      </c>
      <c r="C145" s="2">
        <v>401.26594090886397</v>
      </c>
      <c r="D145" s="2">
        <f t="shared" si="17"/>
        <v>1.748695845260384E-3</v>
      </c>
      <c r="E145" s="5">
        <f t="shared" si="21"/>
        <v>3.555680596302957E-2</v>
      </c>
      <c r="F145" s="5">
        <f t="shared" si="18"/>
        <v>3.5518447158849664E-2</v>
      </c>
      <c r="G145" s="1">
        <v>47058</v>
      </c>
      <c r="H145" s="2">
        <v>401.72493642845899</v>
      </c>
      <c r="I145" s="5">
        <f t="shared" si="22"/>
        <v>3.5656805949567216E-2</v>
      </c>
      <c r="J145" s="5">
        <f t="shared" si="19"/>
        <v>3.5618493128607653E-2</v>
      </c>
      <c r="K145" s="7">
        <f t="shared" si="20"/>
        <v>1.0004596975798918E-4</v>
      </c>
      <c r="M145" s="7">
        <f t="shared" si="23"/>
        <v>9.9999986537646635E-5</v>
      </c>
    </row>
    <row r="146" spans="1:13" x14ac:dyDescent="0.25">
      <c r="A146">
        <f t="shared" si="16"/>
        <v>11.916666666666682</v>
      </c>
      <c r="B146" s="1">
        <v>47088</v>
      </c>
      <c r="C146" s="2">
        <v>402.86458272832476</v>
      </c>
      <c r="D146" s="2">
        <f t="shared" si="17"/>
        <v>3.9839957905221102E-3</v>
      </c>
      <c r="E146" s="5">
        <f t="shared" si="21"/>
        <v>3.5564724900475797E-2</v>
      </c>
      <c r="F146" s="5">
        <f t="shared" si="18"/>
        <v>3.5611218936129063E-2</v>
      </c>
      <c r="G146" s="1">
        <v>47088</v>
      </c>
      <c r="H146" s="2">
        <v>403.32865233086011</v>
      </c>
      <c r="I146" s="5">
        <f t="shared" si="22"/>
        <v>3.566472488679362E-2</v>
      </c>
      <c r="J146" s="5">
        <f t="shared" si="19"/>
        <v>3.5711273510780517E-2</v>
      </c>
      <c r="K146" s="7">
        <f t="shared" si="20"/>
        <v>1.0005457465145362E-4</v>
      </c>
      <c r="M146" s="7">
        <f t="shared" si="23"/>
        <v>9.9999986317822476E-5</v>
      </c>
    </row>
    <row r="147" spans="1:13" x14ac:dyDescent="0.25">
      <c r="A147">
        <f t="shared" si="16"/>
        <v>12.000000000000016</v>
      </c>
      <c r="B147" s="1">
        <v>47119</v>
      </c>
      <c r="C147" s="2">
        <v>401.42136350617324</v>
      </c>
      <c r="D147" s="2">
        <f t="shared" si="17"/>
        <v>-3.5823929032867685E-3</v>
      </c>
      <c r="E147" s="5">
        <f t="shared" si="21"/>
        <v>3.5572643898476919E-2</v>
      </c>
      <c r="F147" s="5">
        <f t="shared" si="18"/>
        <v>3.5050000000000026E-2</v>
      </c>
      <c r="G147" s="1">
        <v>47119</v>
      </c>
      <c r="H147" s="2">
        <v>401.88700447533705</v>
      </c>
      <c r="I147" s="5">
        <f t="shared" si="22"/>
        <v>3.5672643884572253E-2</v>
      </c>
      <c r="J147" s="5">
        <f t="shared" si="19"/>
        <v>3.5150000000000015E-2</v>
      </c>
      <c r="K147" s="7">
        <f t="shared" si="20"/>
        <v>9.9999999999988987E-5</v>
      </c>
      <c r="M147" s="7">
        <f t="shared" si="23"/>
        <v>9.9999986095333782E-5</v>
      </c>
    </row>
    <row r="148" spans="1:13" x14ac:dyDescent="0.25">
      <c r="A148">
        <f t="shared" si="16"/>
        <v>12.08333333333335</v>
      </c>
      <c r="B148" s="1">
        <v>47150</v>
      </c>
      <c r="C148" s="2">
        <v>404.05252015717178</v>
      </c>
      <c r="D148" s="2">
        <f t="shared" si="17"/>
        <v>6.5546004527934354E-3</v>
      </c>
      <c r="E148" s="5">
        <f t="shared" si="21"/>
        <v>3.5745848859811247E-2</v>
      </c>
      <c r="F148" s="5">
        <f t="shared" si="18"/>
        <v>3.5363766312628719E-2</v>
      </c>
      <c r="G148" s="1">
        <v>47150</v>
      </c>
      <c r="H148" s="2">
        <v>404.52446175111993</v>
      </c>
      <c r="I148" s="5">
        <f t="shared" si="22"/>
        <v>3.5845848838179872E-2</v>
      </c>
      <c r="J148" s="5">
        <f t="shared" si="19"/>
        <v>3.5463794894176282E-2</v>
      </c>
      <c r="K148" s="7">
        <f t="shared" si="20"/>
        <v>1.0002858154756211E-4</v>
      </c>
      <c r="M148" s="7">
        <f t="shared" si="23"/>
        <v>9.9999978368625619E-5</v>
      </c>
    </row>
    <row r="149" spans="1:13" x14ac:dyDescent="0.25">
      <c r="A149">
        <f t="shared" si="16"/>
        <v>12.166666666666684</v>
      </c>
      <c r="B149" s="1">
        <v>47178</v>
      </c>
      <c r="C149" s="2">
        <v>405.91577510992124</v>
      </c>
      <c r="D149" s="2">
        <f t="shared" si="17"/>
        <v>4.6114177236777909E-3</v>
      </c>
      <c r="E149" s="5">
        <f t="shared" si="21"/>
        <v>3.59190827905842E-2</v>
      </c>
      <c r="F149" s="5">
        <f t="shared" si="18"/>
        <v>3.5508847836042579E-2</v>
      </c>
      <c r="G149" s="1">
        <v>47178</v>
      </c>
      <c r="H149" s="2">
        <v>406.39315656453374</v>
      </c>
      <c r="I149" s="5">
        <f t="shared" si="22"/>
        <v>3.6019082758426801E-2</v>
      </c>
      <c r="J149" s="5">
        <f t="shared" si="19"/>
        <v>3.5608888725129129E-2</v>
      </c>
      <c r="K149" s="7">
        <f t="shared" si="20"/>
        <v>1.0004088908655007E-4</v>
      </c>
      <c r="M149" s="7">
        <f t="shared" si="23"/>
        <v>9.9999967842601123E-5</v>
      </c>
    </row>
    <row r="150" spans="1:13" x14ac:dyDescent="0.25">
      <c r="A150">
        <f t="shared" si="16"/>
        <v>12.250000000000018</v>
      </c>
      <c r="B150" s="1">
        <v>47209</v>
      </c>
      <c r="C150" s="2">
        <v>408.87484303500383</v>
      </c>
      <c r="D150" s="2">
        <f t="shared" si="17"/>
        <v>7.2898569272930036E-3</v>
      </c>
      <c r="E150" s="5">
        <f t="shared" si="21"/>
        <v>3.6092345695641681E-2</v>
      </c>
      <c r="F150" s="5">
        <f t="shared" si="18"/>
        <v>3.5877103799999421E-2</v>
      </c>
      <c r="G150" s="1">
        <v>47209</v>
      </c>
      <c r="H150" s="2">
        <v>409.35899189009848</v>
      </c>
      <c r="I150" s="5">
        <f t="shared" si="22"/>
        <v>3.6192345650157387E-2</v>
      </c>
      <c r="J150" s="5">
        <f t="shared" si="19"/>
        <v>3.5977178580003599E-2</v>
      </c>
      <c r="K150" s="7">
        <f t="shared" si="20"/>
        <v>1.0007478000417791E-4</v>
      </c>
      <c r="M150" s="7">
        <f t="shared" si="23"/>
        <v>9.999995451570598E-5</v>
      </c>
    </row>
    <row r="151" spans="1:13" x14ac:dyDescent="0.25">
      <c r="A151">
        <f t="shared" si="16"/>
        <v>12.333333333333352</v>
      </c>
      <c r="B151" s="1">
        <v>47239</v>
      </c>
      <c r="C151" s="2">
        <v>410.44398017292588</v>
      </c>
      <c r="D151" s="2">
        <f t="shared" si="17"/>
        <v>3.8376954822523235E-3</v>
      </c>
      <c r="E151" s="5">
        <f t="shared" si="21"/>
        <v>3.6265637579829813E-2</v>
      </c>
      <c r="F151" s="5">
        <f t="shared" si="18"/>
        <v>3.5952107465739402E-2</v>
      </c>
      <c r="G151" s="1">
        <v>47239</v>
      </c>
      <c r="H151" s="2">
        <v>410.93328704425232</v>
      </c>
      <c r="I151" s="5">
        <f t="shared" si="22"/>
        <v>3.6365637518216865E-2</v>
      </c>
      <c r="J151" s="5">
        <f t="shared" si="19"/>
        <v>3.6052187827996018E-2</v>
      </c>
      <c r="K151" s="7">
        <f t="shared" si="20"/>
        <v>1.0008036225661598E-4</v>
      </c>
      <c r="M151" s="7">
        <f t="shared" si="23"/>
        <v>9.9999938387052012E-5</v>
      </c>
    </row>
    <row r="152" spans="1:13" x14ac:dyDescent="0.25">
      <c r="A152">
        <f t="shared" si="16"/>
        <v>12.416666666666686</v>
      </c>
      <c r="B152" s="1">
        <v>47270</v>
      </c>
      <c r="C152" s="2">
        <v>411.24547618055982</v>
      </c>
      <c r="D152" s="2">
        <f t="shared" si="17"/>
        <v>1.952753716344624E-3</v>
      </c>
      <c r="E152" s="5">
        <f t="shared" si="21"/>
        <v>3.6438958447995162E-2</v>
      </c>
      <c r="F152" s="5">
        <f t="shared" si="18"/>
        <v>3.5869299130777188E-2</v>
      </c>
      <c r="G152" s="1">
        <v>47270</v>
      </c>
      <c r="H152" s="2">
        <v>411.73904501869606</v>
      </c>
      <c r="I152" s="5">
        <f t="shared" si="22"/>
        <v>3.6538958367451135E-2</v>
      </c>
      <c r="J152" s="5">
        <f t="shared" si="19"/>
        <v>3.5969369851864608E-2</v>
      </c>
      <c r="K152" s="7">
        <f t="shared" si="20"/>
        <v>1.0007072108741966E-4</v>
      </c>
      <c r="M152" s="7">
        <f t="shared" si="23"/>
        <v>9.9999919455973085E-5</v>
      </c>
    </row>
    <row r="153" spans="1:13" x14ac:dyDescent="0.25">
      <c r="A153">
        <f t="shared" si="16"/>
        <v>12.50000000000002</v>
      </c>
      <c r="B153" s="1">
        <v>47300</v>
      </c>
      <c r="C153" s="2">
        <v>410.96525978640631</v>
      </c>
      <c r="D153" s="2">
        <f t="shared" si="17"/>
        <v>-6.8138474556855844E-4</v>
      </c>
      <c r="E153" s="5">
        <f t="shared" si="21"/>
        <v>3.6612308304985852E-2</v>
      </c>
      <c r="F153" s="5">
        <f t="shared" si="18"/>
        <v>3.5569490263690273E-2</v>
      </c>
      <c r="G153" s="1">
        <v>47300</v>
      </c>
      <c r="H153" s="2">
        <v>411.46179655881957</v>
      </c>
      <c r="I153" s="5">
        <f t="shared" si="22"/>
        <v>3.6712308202706989E-2</v>
      </c>
      <c r="J153" s="5">
        <f t="shared" si="19"/>
        <v>3.5669530402636651E-2</v>
      </c>
      <c r="K153" s="7">
        <f t="shared" si="20"/>
        <v>1.0004013894637787E-4</v>
      </c>
      <c r="M153" s="7">
        <f t="shared" si="23"/>
        <v>9.9999897721136932E-5</v>
      </c>
    </row>
    <row r="154" spans="1:13" x14ac:dyDescent="0.25">
      <c r="A154">
        <f t="shared" si="16"/>
        <v>12.583333333333353</v>
      </c>
      <c r="B154" s="1">
        <v>47331</v>
      </c>
      <c r="C154" s="2">
        <v>412.72497563859628</v>
      </c>
      <c r="D154" s="2">
        <f t="shared" si="17"/>
        <v>4.2819090185495234E-3</v>
      </c>
      <c r="E154" s="5">
        <f t="shared" si="21"/>
        <v>3.6785687155650004E-2</v>
      </c>
      <c r="F154" s="5">
        <f t="shared" si="18"/>
        <v>3.5681431810068887E-2</v>
      </c>
      <c r="G154" s="1">
        <v>47331</v>
      </c>
      <c r="H154" s="2">
        <v>413.22695695597076</v>
      </c>
      <c r="I154" s="5">
        <f t="shared" si="22"/>
        <v>3.6885687028832326E-2</v>
      </c>
      <c r="J154" s="5">
        <f t="shared" si="19"/>
        <v>3.5781481165344076E-2</v>
      </c>
      <c r="K154" s="7">
        <f t="shared" si="20"/>
        <v>1.000493552751891E-4</v>
      </c>
      <c r="M154" s="7">
        <f t="shared" si="23"/>
        <v>9.9999873182321508E-5</v>
      </c>
    </row>
    <row r="155" spans="1:13" x14ac:dyDescent="0.25">
      <c r="A155">
        <f t="shared" si="16"/>
        <v>12.666666666666687</v>
      </c>
      <c r="B155" s="1">
        <v>47362</v>
      </c>
      <c r="C155" s="2">
        <v>414.76485514313964</v>
      </c>
      <c r="D155" s="2">
        <f t="shared" si="17"/>
        <v>4.9424668361470747E-3</v>
      </c>
      <c r="E155" s="5">
        <f t="shared" si="21"/>
        <v>3.6959095004837295E-2</v>
      </c>
      <c r="F155" s="5">
        <f t="shared" si="18"/>
        <v>3.5845681538824836E-2</v>
      </c>
      <c r="G155" s="1">
        <v>47362</v>
      </c>
      <c r="H155" s="2">
        <v>415.27265233416472</v>
      </c>
      <c r="I155" s="5">
        <f t="shared" si="22"/>
        <v>3.7059094850675045E-2</v>
      </c>
      <c r="J155" s="5">
        <f t="shared" si="19"/>
        <v>3.5945745184126299E-2</v>
      </c>
      <c r="K155" s="7">
        <f t="shared" si="20"/>
        <v>1.000636453014625E-4</v>
      </c>
      <c r="M155" s="7">
        <f t="shared" si="23"/>
        <v>9.9999845837750456E-5</v>
      </c>
    </row>
    <row r="156" spans="1:13" x14ac:dyDescent="0.25">
      <c r="A156">
        <f t="shared" si="16"/>
        <v>12.750000000000021</v>
      </c>
      <c r="B156" s="1">
        <v>47392</v>
      </c>
      <c r="C156" s="2">
        <v>415.43948394342198</v>
      </c>
      <c r="D156" s="2">
        <f t="shared" si="17"/>
        <v>1.6265331836022856E-3</v>
      </c>
      <c r="E156" s="5">
        <f t="shared" si="21"/>
        <v>3.7132531857397399E-2</v>
      </c>
      <c r="F156" s="5">
        <f t="shared" si="18"/>
        <v>3.5739288489285537E-2</v>
      </c>
      <c r="G156" s="1">
        <v>47392</v>
      </c>
      <c r="H156" s="2">
        <v>415.95144738213048</v>
      </c>
      <c r="I156" s="5">
        <f t="shared" si="22"/>
        <v>3.7232531673084601E-2</v>
      </c>
      <c r="J156" s="5">
        <f t="shared" si="19"/>
        <v>3.5839340300794831E-2</v>
      </c>
      <c r="K156" s="7">
        <f t="shared" si="20"/>
        <v>1.000518115092941E-4</v>
      </c>
      <c r="M156" s="7">
        <f t="shared" si="23"/>
        <v>9.9999815687201732E-5</v>
      </c>
    </row>
    <row r="157" spans="1:13" x14ac:dyDescent="0.25">
      <c r="A157">
        <f t="shared" si="16"/>
        <v>12.833333333333355</v>
      </c>
      <c r="B157" s="1">
        <v>47423</v>
      </c>
      <c r="C157" s="2">
        <v>416.23556718479409</v>
      </c>
      <c r="D157" s="2">
        <f t="shared" si="17"/>
        <v>1.9162435737103412E-3</v>
      </c>
      <c r="E157" s="5">
        <f t="shared" si="21"/>
        <v>3.7305997718181771E-2</v>
      </c>
      <c r="F157" s="5">
        <f t="shared" si="18"/>
        <v>3.5657626079841132E-2</v>
      </c>
      <c r="G157" s="1">
        <v>47423</v>
      </c>
      <c r="H157" s="2">
        <v>416.75185839655558</v>
      </c>
      <c r="I157" s="5">
        <f t="shared" si="22"/>
        <v>3.7405997500911115E-2</v>
      </c>
      <c r="J157" s="5">
        <f t="shared" si="19"/>
        <v>3.5757668467014003E-2</v>
      </c>
      <c r="K157" s="7">
        <f t="shared" si="20"/>
        <v>1.0004238717287173E-4</v>
      </c>
      <c r="M157" s="7">
        <f t="shared" si="23"/>
        <v>9.9999782729343067E-5</v>
      </c>
    </row>
    <row r="158" spans="1:13" x14ac:dyDescent="0.25">
      <c r="A158">
        <f t="shared" si="16"/>
        <v>12.916666666666689</v>
      </c>
      <c r="B158" s="1">
        <v>47453</v>
      </c>
      <c r="C158" s="2">
        <v>417.96374287228713</v>
      </c>
      <c r="D158" s="2">
        <f t="shared" si="17"/>
        <v>4.1519173846231716E-3</v>
      </c>
      <c r="E158" s="5">
        <f t="shared" si="21"/>
        <v>3.7479492592042085E-2</v>
      </c>
      <c r="F158" s="5">
        <f t="shared" si="18"/>
        <v>3.5755739249018204E-2</v>
      </c>
      <c r="G158" s="1">
        <v>47453</v>
      </c>
      <c r="H158" s="2">
        <v>418.48553833122901</v>
      </c>
      <c r="I158" s="5">
        <f t="shared" si="22"/>
        <v>3.7579492339005371E-2</v>
      </c>
      <c r="J158" s="5">
        <f t="shared" si="19"/>
        <v>3.5855789597598386E-2</v>
      </c>
      <c r="K158" s="7">
        <f t="shared" si="20"/>
        <v>1.0005034858018291E-4</v>
      </c>
      <c r="M158" s="7">
        <f t="shared" si="23"/>
        <v>9.9999746963286285E-5</v>
      </c>
    </row>
    <row r="159" spans="1:13" x14ac:dyDescent="0.25">
      <c r="A159">
        <f t="shared" si="16"/>
        <v>13.000000000000023</v>
      </c>
      <c r="B159" s="1">
        <v>47484</v>
      </c>
      <c r="C159" s="2">
        <v>416.53608872323298</v>
      </c>
      <c r="D159" s="2">
        <f t="shared" si="17"/>
        <v>-3.4157368274175814E-3</v>
      </c>
      <c r="E159" s="5">
        <f t="shared" si="21"/>
        <v>3.7653016483830681E-2</v>
      </c>
      <c r="F159" s="5">
        <f t="shared" si="18"/>
        <v>3.5250000000000004E-2</v>
      </c>
      <c r="G159" s="1">
        <v>47484</v>
      </c>
      <c r="H159" s="2">
        <v>417.05945106273697</v>
      </c>
      <c r="I159" s="5">
        <f t="shared" si="22"/>
        <v>3.7753016192219269E-2</v>
      </c>
      <c r="J159" s="5">
        <f t="shared" si="19"/>
        <v>3.5349999999999993E-2</v>
      </c>
      <c r="K159" s="7">
        <f t="shared" si="20"/>
        <v>9.9999999999988987E-5</v>
      </c>
      <c r="M159" s="7">
        <f t="shared" si="23"/>
        <v>9.9999708388587294E-5</v>
      </c>
    </row>
    <row r="160" spans="1:13" x14ac:dyDescent="0.25">
      <c r="A160">
        <f t="shared" si="16"/>
        <v>13.083333333333357</v>
      </c>
      <c r="B160" s="1">
        <v>47515</v>
      </c>
      <c r="C160" s="2">
        <v>419.27979930406917</v>
      </c>
      <c r="D160" s="2">
        <f t="shared" si="17"/>
        <v>6.5869696650924237E-3</v>
      </c>
      <c r="E160" s="5">
        <f t="shared" si="21"/>
        <v>3.7686385772260911E-2</v>
      </c>
      <c r="F160" s="5">
        <f t="shared" si="18"/>
        <v>3.5541107730369559E-2</v>
      </c>
      <c r="G160" s="1">
        <v>47515</v>
      </c>
      <c r="H160" s="2">
        <v>419.8099789977951</v>
      </c>
      <c r="I160" s="5">
        <f t="shared" si="22"/>
        <v>3.7786385477176498E-2</v>
      </c>
      <c r="J160" s="5">
        <f t="shared" si="19"/>
        <v>3.5641134127062601E-2</v>
      </c>
      <c r="K160" s="7">
        <f t="shared" si="20"/>
        <v>1.0002639669304259E-4</v>
      </c>
      <c r="M160" s="7">
        <f t="shared" si="23"/>
        <v>9.9999704915587628E-5</v>
      </c>
    </row>
    <row r="161" spans="1:13" x14ac:dyDescent="0.25">
      <c r="A161">
        <f t="shared" si="16"/>
        <v>13.166666666666691</v>
      </c>
      <c r="B161" s="1">
        <v>47543</v>
      </c>
      <c r="C161" s="2">
        <v>421.22681915792782</v>
      </c>
      <c r="D161" s="2">
        <f t="shared" si="17"/>
        <v>4.6437244462775862E-3</v>
      </c>
      <c r="E161" s="5">
        <f t="shared" si="21"/>
        <v>3.7719756133794968E-2</v>
      </c>
      <c r="F161" s="5">
        <f t="shared" si="18"/>
        <v>3.5676599503706052E-2</v>
      </c>
      <c r="G161" s="1">
        <v>47543</v>
      </c>
      <c r="H161" s="2">
        <v>421.76284651887374</v>
      </c>
      <c r="I161" s="5">
        <f t="shared" si="22"/>
        <v>3.7819755835133861E-2</v>
      </c>
      <c r="J161" s="5">
        <f t="shared" si="19"/>
        <v>3.5776637286725643E-2</v>
      </c>
      <c r="K161" s="7">
        <f t="shared" si="20"/>
        <v>1.0003778301959088E-4</v>
      </c>
      <c r="M161" s="7">
        <f t="shared" si="23"/>
        <v>9.9999701338893132E-5</v>
      </c>
    </row>
    <row r="162" spans="1:13" x14ac:dyDescent="0.25">
      <c r="A162">
        <f t="shared" si="16"/>
        <v>13.250000000000025</v>
      </c>
      <c r="B162" s="1">
        <v>47574</v>
      </c>
      <c r="C162" s="2">
        <v>424.31114714364128</v>
      </c>
      <c r="D162" s="2">
        <f t="shared" si="17"/>
        <v>7.3222497842833079E-3</v>
      </c>
      <c r="E162" s="5">
        <f t="shared" si="21"/>
        <v>3.7753127568467049E-2</v>
      </c>
      <c r="F162" s="5">
        <f t="shared" si="18"/>
        <v>3.6018572103082569E-2</v>
      </c>
      <c r="G162" s="1">
        <v>47574</v>
      </c>
      <c r="H162" s="2">
        <v>424.85450990764747</v>
      </c>
      <c r="I162" s="5">
        <f t="shared" si="22"/>
        <v>3.7853127266126219E-2</v>
      </c>
      <c r="J162" s="5">
        <f t="shared" si="19"/>
        <v>3.6118641237388838E-2</v>
      </c>
      <c r="K162" s="7">
        <f t="shared" si="20"/>
        <v>1.0006913430626874E-4</v>
      </c>
      <c r="M162" s="7">
        <f t="shared" si="23"/>
        <v>9.9999697659169939E-5</v>
      </c>
    </row>
    <row r="163" spans="1:13" x14ac:dyDescent="0.25">
      <c r="A163">
        <f t="shared" si="16"/>
        <v>13.333333333333359</v>
      </c>
      <c r="B163" s="1">
        <v>47604</v>
      </c>
      <c r="C163" s="2">
        <v>425.95322166105205</v>
      </c>
      <c r="D163" s="2">
        <f t="shared" si="17"/>
        <v>3.8699773231620771E-3</v>
      </c>
      <c r="E163" s="5">
        <f t="shared" si="21"/>
        <v>3.7786500076312235E-2</v>
      </c>
      <c r="F163" s="5">
        <f t="shared" si="18"/>
        <v>3.608957436689364E-2</v>
      </c>
      <c r="G163" s="1">
        <v>47604</v>
      </c>
      <c r="H163" s="2">
        <v>426.5021109294168</v>
      </c>
      <c r="I163" s="5">
        <f t="shared" si="22"/>
        <v>3.7886499770187543E-2</v>
      </c>
      <c r="J163" s="5">
        <f t="shared" si="19"/>
        <v>3.6189648699772592E-2</v>
      </c>
      <c r="K163" s="7">
        <f t="shared" si="20"/>
        <v>1.0007433287895218E-4</v>
      </c>
      <c r="M163" s="7">
        <f t="shared" si="23"/>
        <v>9.9999693875307827E-5</v>
      </c>
    </row>
    <row r="164" spans="1:13" x14ac:dyDescent="0.25">
      <c r="A164">
        <f t="shared" si="16"/>
        <v>13.416666666666693</v>
      </c>
      <c r="B164" s="1">
        <v>47635</v>
      </c>
      <c r="C164" s="2">
        <v>426.79872813187143</v>
      </c>
      <c r="D164" s="2">
        <f t="shared" si="17"/>
        <v>1.9849749404927675E-3</v>
      </c>
      <c r="E164" s="5">
        <f t="shared" si="21"/>
        <v>3.7819873657364722E-2</v>
      </c>
      <c r="F164" s="5">
        <f t="shared" si="18"/>
        <v>3.6014557041060158E-2</v>
      </c>
      <c r="G164" s="1">
        <v>47635</v>
      </c>
      <c r="H164" s="2">
        <v>427.352137457965</v>
      </c>
      <c r="I164" s="5">
        <f t="shared" si="22"/>
        <v>3.7919873347352695E-2</v>
      </c>
      <c r="J164" s="5">
        <f t="shared" si="19"/>
        <v>3.6114622489319625E-2</v>
      </c>
      <c r="K164" s="7">
        <f t="shared" si="20"/>
        <v>1.0006544825946762E-4</v>
      </c>
      <c r="M164" s="7">
        <f t="shared" si="23"/>
        <v>9.9999689987972928E-5</v>
      </c>
    </row>
    <row r="165" spans="1:13" x14ac:dyDescent="0.25">
      <c r="A165">
        <f t="shared" si="16"/>
        <v>13.500000000000027</v>
      </c>
      <c r="B165" s="1">
        <v>47665</v>
      </c>
      <c r="C165" s="2">
        <v>426.52162981256663</v>
      </c>
      <c r="D165" s="2">
        <f t="shared" si="17"/>
        <v>-6.4924823116896402E-4</v>
      </c>
      <c r="E165" s="5">
        <f t="shared" si="21"/>
        <v>3.7853248311659149E-2</v>
      </c>
      <c r="F165" s="5">
        <f t="shared" si="18"/>
        <v>3.5738485054297886E-2</v>
      </c>
      <c r="G165" s="1">
        <v>47665</v>
      </c>
      <c r="H165" s="2">
        <v>427.07810816517764</v>
      </c>
      <c r="I165" s="5">
        <f t="shared" si="22"/>
        <v>3.7953247997656314E-2</v>
      </c>
      <c r="J165" s="5">
        <f t="shared" si="19"/>
        <v>3.5838522219471258E-2</v>
      </c>
      <c r="K165" s="7">
        <f t="shared" si="20"/>
        <v>1.0003716517337224E-4</v>
      </c>
      <c r="M165" s="7">
        <f t="shared" si="23"/>
        <v>9.9999685997165244E-5</v>
      </c>
    </row>
    <row r="166" spans="1:13" x14ac:dyDescent="0.25">
      <c r="A166">
        <f t="shared" si="16"/>
        <v>13.583333333333361</v>
      </c>
      <c r="B166" s="1">
        <v>47696</v>
      </c>
      <c r="C166" s="2">
        <v>428.36173162221604</v>
      </c>
      <c r="D166" s="2">
        <f t="shared" si="17"/>
        <v>4.3142051446676266E-3</v>
      </c>
      <c r="E166" s="5">
        <f t="shared" si="21"/>
        <v>3.788662403922971E-2</v>
      </c>
      <c r="F166" s="5">
        <f t="shared" si="18"/>
        <v>3.5843617358359392E-2</v>
      </c>
      <c r="G166" s="1">
        <v>47696</v>
      </c>
      <c r="H166" s="2">
        <v>428.92405388128577</v>
      </c>
      <c r="I166" s="5">
        <f t="shared" si="22"/>
        <v>3.7986623721132373E-2</v>
      </c>
      <c r="J166" s="5">
        <f t="shared" si="19"/>
        <v>3.5943663079320398E-2</v>
      </c>
      <c r="K166" s="7">
        <f t="shared" si="20"/>
        <v>1.0004572096100617E-4</v>
      </c>
      <c r="M166" s="7">
        <f t="shared" si="23"/>
        <v>9.9999681902662729E-5</v>
      </c>
    </row>
    <row r="167" spans="1:13" x14ac:dyDescent="0.25">
      <c r="A167">
        <f t="shared" si="16"/>
        <v>13.666666666666694</v>
      </c>
      <c r="B167" s="1">
        <v>47727</v>
      </c>
      <c r="C167" s="2">
        <v>430.49273879861619</v>
      </c>
      <c r="D167" s="2">
        <f t="shared" si="17"/>
        <v>4.9747842047653812E-3</v>
      </c>
      <c r="E167" s="5">
        <f t="shared" si="21"/>
        <v>3.792000084011149E-2</v>
      </c>
      <c r="F167" s="5">
        <f t="shared" si="18"/>
        <v>3.5997320328699844E-2</v>
      </c>
      <c r="G167" s="1">
        <v>47727</v>
      </c>
      <c r="H167" s="2">
        <v>431.06131879094431</v>
      </c>
      <c r="I167" s="5">
        <f t="shared" si="22"/>
        <v>3.8020000517815511E-2</v>
      </c>
      <c r="J167" s="5">
        <f t="shared" si="19"/>
        <v>3.609737931568513E-2</v>
      </c>
      <c r="K167" s="7">
        <f t="shared" si="20"/>
        <v>1.0005898698528526E-4</v>
      </c>
      <c r="M167" s="7">
        <f t="shared" si="23"/>
        <v>9.9999677704021295E-5</v>
      </c>
    </row>
    <row r="168" spans="1:13" x14ac:dyDescent="0.25">
      <c r="A168">
        <f t="shared" si="16"/>
        <v>13.750000000000028</v>
      </c>
      <c r="B168" s="1">
        <v>47757</v>
      </c>
      <c r="C168" s="2">
        <v>431.20681601041599</v>
      </c>
      <c r="D168" s="2">
        <f t="shared" si="17"/>
        <v>1.6587439170114848E-3</v>
      </c>
      <c r="E168" s="5">
        <f t="shared" si="21"/>
        <v>3.7953378714338459E-2</v>
      </c>
      <c r="F168" s="5">
        <f t="shared" si="18"/>
        <v>3.5900153858337447E-2</v>
      </c>
      <c r="G168" s="1">
        <v>47757</v>
      </c>
      <c r="H168" s="2">
        <v>431.77980520029104</v>
      </c>
      <c r="I168" s="5">
        <f t="shared" si="22"/>
        <v>3.8053378387740588E-2</v>
      </c>
      <c r="J168" s="5">
        <f t="shared" si="19"/>
        <v>3.6000201900857398E-2</v>
      </c>
      <c r="K168" s="7">
        <f t="shared" si="20"/>
        <v>1.0004804251995125E-4</v>
      </c>
      <c r="M168" s="7">
        <f t="shared" si="23"/>
        <v>9.9999673402129119E-5</v>
      </c>
    </row>
    <row r="169" spans="1:13" x14ac:dyDescent="0.25">
      <c r="A169">
        <f t="shared" si="16"/>
        <v>13.833333333333362</v>
      </c>
      <c r="B169" s="1">
        <v>47788</v>
      </c>
      <c r="C169" s="2">
        <v>432.04700680572529</v>
      </c>
      <c r="D169" s="2">
        <f t="shared" si="17"/>
        <v>1.9484636237498965E-3</v>
      </c>
      <c r="E169" s="5">
        <f t="shared" si="21"/>
        <v>3.7986757661945481E-2</v>
      </c>
      <c r="F169" s="5">
        <f t="shared" si="18"/>
        <v>3.5825821649284828E-2</v>
      </c>
      <c r="G169" s="1">
        <v>47788</v>
      </c>
      <c r="H169" s="2">
        <v>432.62458529452414</v>
      </c>
      <c r="I169" s="5">
        <f t="shared" si="22"/>
        <v>3.8086757330941579E-2</v>
      </c>
      <c r="J169" s="5">
        <f t="shared" si="19"/>
        <v>3.5925860971740997E-2</v>
      </c>
      <c r="K169" s="7">
        <f t="shared" si="20"/>
        <v>1.0003932245616909E-4</v>
      </c>
      <c r="M169" s="7">
        <f t="shared" si="23"/>
        <v>9.9999668996098023E-5</v>
      </c>
    </row>
    <row r="170" spans="1:13" x14ac:dyDescent="0.25">
      <c r="A170">
        <f t="shared" si="16"/>
        <v>13.916666666666696</v>
      </c>
      <c r="B170" s="1">
        <v>47818</v>
      </c>
      <c r="C170" s="2">
        <v>433.85478192277964</v>
      </c>
      <c r="D170" s="2">
        <f t="shared" si="17"/>
        <v>4.1842093304149675E-3</v>
      </c>
      <c r="E170" s="5">
        <f t="shared" si="21"/>
        <v>3.8020137682966748E-2</v>
      </c>
      <c r="F170" s="5">
        <f t="shared" si="18"/>
        <v>3.5918285663843585E-2</v>
      </c>
      <c r="G170" s="1">
        <v>47818</v>
      </c>
      <c r="H170" s="2">
        <v>434.43826453033853</v>
      </c>
      <c r="I170" s="5">
        <f t="shared" si="22"/>
        <v>3.8120137347453564E-2</v>
      </c>
      <c r="J170" s="5">
        <f t="shared" si="19"/>
        <v>3.6018332393726649E-2</v>
      </c>
      <c r="K170" s="7">
        <f t="shared" si="20"/>
        <v>1.0004672988306318E-4</v>
      </c>
      <c r="M170" s="7">
        <f t="shared" si="23"/>
        <v>9.9999664486816187E-5</v>
      </c>
    </row>
    <row r="171" spans="1:13" x14ac:dyDescent="0.25">
      <c r="A171">
        <f t="shared" si="16"/>
        <v>14.00000000000003</v>
      </c>
      <c r="B171" s="1">
        <v>47849</v>
      </c>
      <c r="C171" s="2">
        <v>432.38675259694276</v>
      </c>
      <c r="D171" s="2">
        <f t="shared" si="17"/>
        <v>-3.3836882454788553E-3</v>
      </c>
      <c r="E171" s="5">
        <f t="shared" si="21"/>
        <v>3.8053518777437123E-2</v>
      </c>
      <c r="F171" s="5">
        <f t="shared" si="18"/>
        <v>3.5449999999999982E-2</v>
      </c>
      <c r="G171" s="1">
        <v>47849</v>
      </c>
      <c r="H171" s="2">
        <v>432.97173651831372</v>
      </c>
      <c r="I171" s="5">
        <f t="shared" si="22"/>
        <v>3.8153518437310519E-2</v>
      </c>
      <c r="J171" s="5">
        <f t="shared" si="19"/>
        <v>3.5549999999999971E-2</v>
      </c>
      <c r="K171" s="7">
        <f t="shared" si="20"/>
        <v>9.9999999999988987E-5</v>
      </c>
      <c r="M171" s="7">
        <f t="shared" si="23"/>
        <v>9.999965987339543E-5</v>
      </c>
    </row>
    <row r="172" spans="1:13" x14ac:dyDescent="0.25">
      <c r="A172">
        <f t="shared" si="16"/>
        <v>14.083333333333364</v>
      </c>
      <c r="B172" s="1">
        <v>47880</v>
      </c>
      <c r="C172" s="2">
        <v>435.24886343527737</v>
      </c>
      <c r="D172" s="2">
        <f t="shared" si="17"/>
        <v>6.6193305441126782E-3</v>
      </c>
      <c r="E172" s="5">
        <f t="shared" si="21"/>
        <v>3.8086891278125146E-2</v>
      </c>
      <c r="F172" s="5">
        <f t="shared" si="18"/>
        <v>3.5721667331150897E-2</v>
      </c>
      <c r="G172" s="1">
        <v>47880</v>
      </c>
      <c r="H172" s="2">
        <v>435.84121687887949</v>
      </c>
      <c r="I172" s="5">
        <f t="shared" si="22"/>
        <v>3.8186890934216233E-2</v>
      </c>
      <c r="J172" s="5">
        <f t="shared" si="19"/>
        <v>3.5821691853302973E-2</v>
      </c>
      <c r="K172" s="7">
        <f t="shared" si="20"/>
        <v>1.0002452215207569E-4</v>
      </c>
      <c r="M172" s="7">
        <f t="shared" si="23"/>
        <v>9.999965609108763E-5</v>
      </c>
    </row>
    <row r="173" spans="1:13" x14ac:dyDescent="0.25">
      <c r="A173">
        <f t="shared" si="16"/>
        <v>14.166666666666698</v>
      </c>
      <c r="B173" s="1">
        <v>47908</v>
      </c>
      <c r="C173" s="2">
        <v>437.28409706687108</v>
      </c>
      <c r="D173" s="2">
        <f t="shared" si="17"/>
        <v>4.6760228516860014E-3</v>
      </c>
      <c r="E173" s="5">
        <f t="shared" si="21"/>
        <v>3.8120264851709385E-2</v>
      </c>
      <c r="F173" s="5">
        <f t="shared" si="18"/>
        <v>3.5848904680701787E-2</v>
      </c>
      <c r="G173" s="1">
        <v>47908</v>
      </c>
      <c r="H173" s="2">
        <v>437.88273407074905</v>
      </c>
      <c r="I173" s="5">
        <f t="shared" si="22"/>
        <v>3.8220264503914692E-2</v>
      </c>
      <c r="J173" s="5">
        <f t="shared" si="19"/>
        <v>3.5948939796234702E-2</v>
      </c>
      <c r="K173" s="7">
        <f t="shared" si="20"/>
        <v>1.0003511553291489E-4</v>
      </c>
      <c r="M173" s="7">
        <f t="shared" si="23"/>
        <v>9.9999652205307044E-5</v>
      </c>
    </row>
    <row r="174" spans="1:13" x14ac:dyDescent="0.25">
      <c r="A174">
        <f t="shared" si="16"/>
        <v>14.250000000000032</v>
      </c>
      <c r="B174" s="1">
        <v>47939</v>
      </c>
      <c r="C174" s="2">
        <v>440.50016168683783</v>
      </c>
      <c r="D174" s="2">
        <f t="shared" si="17"/>
        <v>7.3546343019077476E-3</v>
      </c>
      <c r="E174" s="5">
        <f t="shared" si="21"/>
        <v>3.8153639498224479E-2</v>
      </c>
      <c r="F174" s="5">
        <f t="shared" si="18"/>
        <v>3.6168258031148426E-2</v>
      </c>
      <c r="G174" s="1">
        <v>47939</v>
      </c>
      <c r="H174" s="2">
        <v>441.10674101939236</v>
      </c>
      <c r="I174" s="5">
        <f t="shared" si="22"/>
        <v>3.825363914644031E-2</v>
      </c>
      <c r="J174" s="5">
        <f t="shared" si="19"/>
        <v>3.6268322312389856E-2</v>
      </c>
      <c r="K174" s="7">
        <f t="shared" si="20"/>
        <v>1.0006428124142985E-4</v>
      </c>
      <c r="M174" s="7">
        <f t="shared" si="23"/>
        <v>9.9999648215831627E-5</v>
      </c>
    </row>
    <row r="175" spans="1:13" x14ac:dyDescent="0.25">
      <c r="A175">
        <f t="shared" si="16"/>
        <v>14.333333333333366</v>
      </c>
      <c r="B175" s="1">
        <v>47969</v>
      </c>
      <c r="C175" s="2">
        <v>442.21910381865302</v>
      </c>
      <c r="D175" s="2">
        <f t="shared" si="17"/>
        <v>3.9022508532862155E-3</v>
      </c>
      <c r="E175" s="5">
        <f t="shared" si="21"/>
        <v>3.8187015217704845E-2</v>
      </c>
      <c r="F175" s="5">
        <f t="shared" si="18"/>
        <v>3.623576984543897E-2</v>
      </c>
      <c r="G175" s="1">
        <v>47969</v>
      </c>
      <c r="H175" s="2">
        <v>442.83160358917223</v>
      </c>
      <c r="I175" s="5">
        <f t="shared" si="22"/>
        <v>3.8287014861827506E-2</v>
      </c>
      <c r="J175" s="5">
        <f t="shared" si="19"/>
        <v>3.6335838990539271E-2</v>
      </c>
      <c r="K175" s="7">
        <f t="shared" si="20"/>
        <v>1.0006914510030107E-4</v>
      </c>
      <c r="M175" s="7">
        <f t="shared" si="23"/>
        <v>9.999964412266138E-5</v>
      </c>
    </row>
    <row r="176" spans="1:13" x14ac:dyDescent="0.25">
      <c r="A176">
        <f t="shared" si="16"/>
        <v>14.4166666666667</v>
      </c>
      <c r="B176" s="1">
        <v>48000</v>
      </c>
      <c r="C176" s="2">
        <v>443.11114283051995</v>
      </c>
      <c r="D176" s="2">
        <f t="shared" si="17"/>
        <v>2.0171878694610346E-3</v>
      </c>
      <c r="E176" s="5">
        <f t="shared" si="21"/>
        <v>3.8220392010185122E-2</v>
      </c>
      <c r="F176" s="5">
        <f t="shared" si="18"/>
        <v>3.6167411554160145E-2</v>
      </c>
      <c r="G176" s="1">
        <v>48000</v>
      </c>
      <c r="H176" s="2">
        <v>443.72843873786633</v>
      </c>
      <c r="I176" s="5">
        <f t="shared" si="22"/>
        <v>3.8320391650111141E-2</v>
      </c>
      <c r="J176" s="5">
        <f t="shared" si="19"/>
        <v>3.6267472461305239E-2</v>
      </c>
      <c r="K176" s="7">
        <f t="shared" si="20"/>
        <v>1.0006090714509419E-4</v>
      </c>
      <c r="M176" s="7">
        <f t="shared" si="23"/>
        <v>9.9999639926018347E-5</v>
      </c>
    </row>
    <row r="177" spans="1:13" x14ac:dyDescent="0.25">
      <c r="A177">
        <f t="shared" si="16"/>
        <v>14.500000000000034</v>
      </c>
      <c r="B177" s="1">
        <v>48030</v>
      </c>
      <c r="C177" s="2">
        <v>442.83769008642491</v>
      </c>
      <c r="D177" s="2">
        <f t="shared" si="17"/>
        <v>-6.1711999014124608E-4</v>
      </c>
      <c r="E177" s="5">
        <f t="shared" si="21"/>
        <v>3.8253769875699728E-2</v>
      </c>
      <c r="F177" s="5">
        <f t="shared" si="18"/>
        <v>3.5911757172515602E-2</v>
      </c>
      <c r="G177" s="1">
        <v>48030</v>
      </c>
      <c r="H177" s="2">
        <v>443.45816348907772</v>
      </c>
      <c r="I177" s="5">
        <f t="shared" si="22"/>
        <v>3.8353769511325408E-2</v>
      </c>
      <c r="J177" s="5">
        <f t="shared" si="19"/>
        <v>3.601179177416225E-2</v>
      </c>
      <c r="K177" s="7">
        <f t="shared" si="20"/>
        <v>1.0003460164664801E-4</v>
      </c>
      <c r="M177" s="7">
        <f t="shared" si="23"/>
        <v>9.9999635625680483E-5</v>
      </c>
    </row>
    <row r="178" spans="1:13" x14ac:dyDescent="0.25">
      <c r="A178">
        <f t="shared" si="16"/>
        <v>14.583333333333368</v>
      </c>
      <c r="B178" s="1">
        <v>48061</v>
      </c>
      <c r="C178" s="2">
        <v>444.76248098717974</v>
      </c>
      <c r="D178" s="2">
        <f t="shared" si="17"/>
        <v>4.3464929563226118E-3</v>
      </c>
      <c r="E178" s="5">
        <f t="shared" si="21"/>
        <v>3.8287148814282856E-2</v>
      </c>
      <c r="F178" s="5">
        <f t="shared" si="18"/>
        <v>3.601099000105723E-2</v>
      </c>
      <c r="G178" s="1">
        <v>48061</v>
      </c>
      <c r="H178" s="2">
        <v>445.38922520947426</v>
      </c>
      <c r="I178" s="5">
        <f t="shared" si="22"/>
        <v>3.8387148445504504E-2</v>
      </c>
      <c r="J178" s="5">
        <f t="shared" si="19"/>
        <v>3.6111032586230163E-2</v>
      </c>
      <c r="K178" s="7">
        <f t="shared" si="20"/>
        <v>1.0004258517293252E-4</v>
      </c>
      <c r="M178" s="7">
        <f t="shared" si="23"/>
        <v>9.9999631221647789E-5</v>
      </c>
    </row>
    <row r="179" spans="1:13" x14ac:dyDescent="0.25">
      <c r="A179">
        <f t="shared" si="16"/>
        <v>14.666666666666702</v>
      </c>
      <c r="B179" s="1">
        <v>48092</v>
      </c>
      <c r="C179" s="2">
        <v>446.98944820511917</v>
      </c>
      <c r="D179" s="2">
        <f t="shared" si="17"/>
        <v>5.0070932534518331E-3</v>
      </c>
      <c r="E179" s="5">
        <f t="shared" si="21"/>
        <v>3.8320528825969591E-2</v>
      </c>
      <c r="F179" s="5">
        <f t="shared" si="18"/>
        <v>3.6155555650645654E-2</v>
      </c>
      <c r="G179" s="1">
        <v>48092</v>
      </c>
      <c r="H179" s="2">
        <v>447.62292245440318</v>
      </c>
      <c r="I179" s="5">
        <f t="shared" si="22"/>
        <v>3.8420528452683733E-2</v>
      </c>
      <c r="J179" s="5">
        <f t="shared" si="19"/>
        <v>3.6255610614714051E-2</v>
      </c>
      <c r="K179" s="7">
        <f t="shared" si="20"/>
        <v>1.0005496406839676E-4</v>
      </c>
      <c r="M179" s="7">
        <f t="shared" si="23"/>
        <v>9.9999626714142309E-5</v>
      </c>
    </row>
    <row r="180" spans="1:13" x14ac:dyDescent="0.25">
      <c r="A180">
        <f t="shared" si="16"/>
        <v>14.750000000000036</v>
      </c>
      <c r="B180" s="1">
        <v>48122</v>
      </c>
      <c r="C180" s="2">
        <v>447.74528338459982</v>
      </c>
      <c r="D180" s="2">
        <f t="shared" si="17"/>
        <v>1.6909463579413142E-3</v>
      </c>
      <c r="E180" s="5">
        <f t="shared" si="21"/>
        <v>3.8353909910793904E-2</v>
      </c>
      <c r="F180" s="5">
        <f t="shared" si="18"/>
        <v>3.6066326812583149E-2</v>
      </c>
      <c r="G180" s="1">
        <v>48122</v>
      </c>
      <c r="H180" s="2">
        <v>448.38342676759498</v>
      </c>
      <c r="I180" s="5">
        <f t="shared" si="22"/>
        <v>3.8453909532897068E-2</v>
      </c>
      <c r="J180" s="5">
        <f t="shared" si="19"/>
        <v>3.6166371597277536E-2</v>
      </c>
      <c r="K180" s="7">
        <f t="shared" si="20"/>
        <v>1.0004478469438638E-4</v>
      </c>
      <c r="M180" s="7">
        <f t="shared" si="23"/>
        <v>9.9999622103164043E-5</v>
      </c>
    </row>
    <row r="181" spans="1:13" x14ac:dyDescent="0.25">
      <c r="A181">
        <f t="shared" si="16"/>
        <v>14.833333333333369</v>
      </c>
      <c r="B181" s="1">
        <v>48153</v>
      </c>
      <c r="C181" s="2">
        <v>448.63212144342344</v>
      </c>
      <c r="D181" s="2">
        <f t="shared" si="17"/>
        <v>1.9806753789115561E-3</v>
      </c>
      <c r="E181" s="5">
        <f t="shared" si="21"/>
        <v>3.8387292068790657E-2</v>
      </c>
      <c r="F181" s="5">
        <f t="shared" si="18"/>
        <v>3.5998306246624479E-2</v>
      </c>
      <c r="G181" s="1">
        <v>48153</v>
      </c>
      <c r="H181" s="2">
        <v>449.27513389936678</v>
      </c>
      <c r="I181" s="5">
        <f t="shared" si="22"/>
        <v>3.8487291686179148E-2</v>
      </c>
      <c r="J181" s="5">
        <f t="shared" si="19"/>
        <v>3.6098342917660009E-2</v>
      </c>
      <c r="K181" s="7">
        <f t="shared" si="20"/>
        <v>1.0003667103553049E-4</v>
      </c>
      <c r="M181" s="7">
        <f t="shared" si="23"/>
        <v>9.9999617388490947E-5</v>
      </c>
    </row>
    <row r="182" spans="1:13" x14ac:dyDescent="0.25">
      <c r="A182">
        <f t="shared" si="16"/>
        <v>14.916666666666703</v>
      </c>
      <c r="B182" s="1">
        <v>48183</v>
      </c>
      <c r="C182" s="2">
        <v>450.52377562638452</v>
      </c>
      <c r="D182" s="2">
        <f t="shared" si="17"/>
        <v>4.2164929628196735E-3</v>
      </c>
      <c r="E182" s="5">
        <f t="shared" si="21"/>
        <v>3.8420675299994045E-2</v>
      </c>
      <c r="F182" s="5">
        <f t="shared" si="18"/>
        <v>3.6085854885325563E-2</v>
      </c>
      <c r="G182" s="1">
        <v>48183</v>
      </c>
      <c r="H182" s="2">
        <v>451.17311968789028</v>
      </c>
      <c r="I182" s="5">
        <f t="shared" si="22"/>
        <v>3.8520674912564168E-2</v>
      </c>
      <c r="J182" s="5">
        <f t="shared" si="19"/>
        <v>3.6185898481805978E-2</v>
      </c>
      <c r="K182" s="7">
        <f t="shared" si="20"/>
        <v>1.0004359648041472E-4</v>
      </c>
      <c r="M182" s="7">
        <f t="shared" si="23"/>
        <v>9.999961257012302E-5</v>
      </c>
    </row>
    <row r="183" spans="1:13" x14ac:dyDescent="0.25">
      <c r="A183">
        <f t="shared" si="16"/>
        <v>15.000000000000037</v>
      </c>
      <c r="B183" s="1">
        <v>48214</v>
      </c>
      <c r="C183" s="2">
        <v>449.0137785534759</v>
      </c>
      <c r="D183" s="2">
        <f t="shared" si="17"/>
        <v>-3.3516479142731148E-3</v>
      </c>
      <c r="E183" s="5">
        <f t="shared" si="21"/>
        <v>3.8454059604440038E-2</v>
      </c>
      <c r="F183" s="5">
        <f t="shared" si="18"/>
        <v>3.5649999999999959E-2</v>
      </c>
      <c r="G183" s="1">
        <v>48214</v>
      </c>
      <c r="H183" s="2">
        <v>449.66455448520094</v>
      </c>
      <c r="I183" s="5">
        <f t="shared" si="22"/>
        <v>3.8554059212086988E-2</v>
      </c>
      <c r="J183" s="5">
        <f t="shared" si="19"/>
        <v>3.5749999999999726E-2</v>
      </c>
      <c r="K183" s="7">
        <f t="shared" si="20"/>
        <v>9.9999999999766942E-5</v>
      </c>
      <c r="M183" s="7">
        <f t="shared" si="23"/>
        <v>9.9999607646950039E-5</v>
      </c>
    </row>
    <row r="184" spans="1:13" x14ac:dyDescent="0.25">
      <c r="A184">
        <f t="shared" si="16"/>
        <v>15.083333333333371</v>
      </c>
      <c r="B184" s="1">
        <v>48245</v>
      </c>
      <c r="C184" s="2">
        <v>451.90506168403203</v>
      </c>
      <c r="D184" s="2">
        <f t="shared" si="17"/>
        <v>6.4391857636765248E-3</v>
      </c>
      <c r="E184" s="5">
        <f t="shared" si="21"/>
        <v>3.8268217675039296E-2</v>
      </c>
      <c r="F184" s="5">
        <f t="shared" si="18"/>
        <v>3.5890305909854536E-2</v>
      </c>
      <c r="G184" s="1">
        <v>48245</v>
      </c>
      <c r="H184" s="2">
        <v>452.56366741027193</v>
      </c>
      <c r="I184" s="5">
        <f t="shared" si="22"/>
        <v>3.8368217331862908E-2</v>
      </c>
      <c r="J184" s="5">
        <f t="shared" si="19"/>
        <v>3.5990328805906469E-2</v>
      </c>
      <c r="K184" s="7">
        <f t="shared" si="20"/>
        <v>1.0002289605193226E-4</v>
      </c>
      <c r="M184" s="7">
        <f t="shared" si="23"/>
        <v>9.9999656823612781E-5</v>
      </c>
    </row>
    <row r="185" spans="1:13" x14ac:dyDescent="0.25">
      <c r="A185">
        <f t="shared" si="16"/>
        <v>15.166666666666705</v>
      </c>
      <c r="B185" s="1">
        <v>48274</v>
      </c>
      <c r="C185" s="2">
        <v>453.93692890229232</v>
      </c>
      <c r="D185" s="2">
        <f t="shared" si="17"/>
        <v>4.4962258459519955E-3</v>
      </c>
      <c r="E185" s="5">
        <f t="shared" si="21"/>
        <v>3.8082409003944662E-2</v>
      </c>
      <c r="F185" s="5">
        <f t="shared" si="18"/>
        <v>3.5996020610079116E-2</v>
      </c>
      <c r="G185" s="1">
        <v>48274</v>
      </c>
      <c r="H185" s="2">
        <v>454.6021515886564</v>
      </c>
      <c r="I185" s="5">
        <f t="shared" si="22"/>
        <v>3.8182408706724624E-2</v>
      </c>
      <c r="J185" s="5">
        <f t="shared" si="19"/>
        <v>3.609605340967792E-2</v>
      </c>
      <c r="K185" s="7">
        <f t="shared" si="20"/>
        <v>1.0003279959880373E-4</v>
      </c>
      <c r="M185" s="7">
        <f t="shared" si="23"/>
        <v>9.9999702779962618E-5</v>
      </c>
    </row>
    <row r="186" spans="1:13" x14ac:dyDescent="0.25">
      <c r="A186">
        <f t="shared" si="16"/>
        <v>15.250000000000039</v>
      </c>
      <c r="B186" s="1">
        <v>48305</v>
      </c>
      <c r="C186" s="2">
        <v>457.19363490850702</v>
      </c>
      <c r="D186" s="2">
        <f t="shared" si="17"/>
        <v>7.1743579313761074E-3</v>
      </c>
      <c r="E186" s="5">
        <f t="shared" si="21"/>
        <v>3.7896633585204009E-2</v>
      </c>
      <c r="F186" s="5">
        <f t="shared" si="18"/>
        <v>3.6281505901417432E-2</v>
      </c>
      <c r="G186" s="1">
        <v>48305</v>
      </c>
      <c r="H186" s="2">
        <v>457.86731211761577</v>
      </c>
      <c r="I186" s="5">
        <f t="shared" si="22"/>
        <v>3.7996633330721563E-2</v>
      </c>
      <c r="J186" s="5">
        <f t="shared" si="19"/>
        <v>3.6381565965903473E-2</v>
      </c>
      <c r="K186" s="7">
        <f t="shared" si="20"/>
        <v>1.0006006448604055E-4</v>
      </c>
      <c r="M186" s="7">
        <f t="shared" si="23"/>
        <v>9.9999745517553862E-5</v>
      </c>
    </row>
    <row r="187" spans="1:13" x14ac:dyDescent="0.25">
      <c r="A187">
        <f t="shared" si="16"/>
        <v>15.333333333333373</v>
      </c>
      <c r="B187" s="1">
        <v>48335</v>
      </c>
      <c r="C187" s="2">
        <v>458.89558042345328</v>
      </c>
      <c r="D187" s="2">
        <f t="shared" si="17"/>
        <v>3.722592321931284E-3</v>
      </c>
      <c r="E187" s="5">
        <f t="shared" si="21"/>
        <v>3.7710891412866321E-2</v>
      </c>
      <c r="F187" s="5">
        <f t="shared" si="18"/>
        <v>3.6331909475619373E-2</v>
      </c>
      <c r="G187" s="1">
        <v>48335</v>
      </c>
      <c r="H187" s="2">
        <v>459.57546117147569</v>
      </c>
      <c r="I187" s="5">
        <f t="shared" si="22"/>
        <v>3.7810891197903818E-2</v>
      </c>
      <c r="J187" s="5">
        <f t="shared" si="19"/>
        <v>3.6431974109417009E-2</v>
      </c>
      <c r="K187" s="7">
        <f t="shared" si="20"/>
        <v>1.000646337976363E-4</v>
      </c>
      <c r="M187" s="7">
        <f t="shared" si="23"/>
        <v>9.9999785037496736E-5</v>
      </c>
    </row>
    <row r="188" spans="1:13" x14ac:dyDescent="0.25">
      <c r="A188">
        <f t="shared" si="16"/>
        <v>15.416666666666707</v>
      </c>
      <c r="B188" s="1">
        <v>48366</v>
      </c>
      <c r="C188" s="2">
        <v>459.73896932459155</v>
      </c>
      <c r="D188" s="2">
        <f t="shared" si="17"/>
        <v>1.8378666893239526E-3</v>
      </c>
      <c r="E188" s="5">
        <f t="shared" si="21"/>
        <v>3.7525182480981689E-2</v>
      </c>
      <c r="F188" s="5">
        <f t="shared" si="18"/>
        <v>3.625542926678671E-2</v>
      </c>
      <c r="G188" s="1">
        <v>48366</v>
      </c>
      <c r="H188" s="2">
        <v>460.42380213810361</v>
      </c>
      <c r="I188" s="5">
        <f t="shared" si="22"/>
        <v>3.7625182302322813E-2</v>
      </c>
      <c r="J188" s="5">
        <f t="shared" si="19"/>
        <v>3.6355486221659516E-2</v>
      </c>
      <c r="K188" s="7">
        <f t="shared" si="20"/>
        <v>1.0005695487280697E-4</v>
      </c>
      <c r="M188" s="7">
        <f t="shared" si="23"/>
        <v>9.9999821341123507E-5</v>
      </c>
    </row>
    <row r="189" spans="1:13" x14ac:dyDescent="0.25">
      <c r="A189">
        <f t="shared" si="16"/>
        <v>15.500000000000041</v>
      </c>
      <c r="B189" s="1">
        <v>48396</v>
      </c>
      <c r="C189" s="2">
        <v>459.3730310194415</v>
      </c>
      <c r="D189" s="2">
        <f t="shared" si="17"/>
        <v>-7.9596973405948734E-4</v>
      </c>
      <c r="E189" s="5">
        <f t="shared" si="21"/>
        <v>3.7339506783601761E-2</v>
      </c>
      <c r="F189" s="5">
        <f t="shared" si="18"/>
        <v>3.6003810721245033E-2</v>
      </c>
      <c r="G189" s="1">
        <v>48396</v>
      </c>
      <c r="H189" s="2">
        <v>460.06101834471605</v>
      </c>
      <c r="I189" s="5">
        <f t="shared" si="22"/>
        <v>3.7439506638030862E-2</v>
      </c>
      <c r="J189" s="5">
        <f t="shared" si="19"/>
        <v>3.6103843089745347E-2</v>
      </c>
      <c r="K189" s="7">
        <f t="shared" si="20"/>
        <v>1.000323685003135E-4</v>
      </c>
      <c r="M189" s="7">
        <f t="shared" si="23"/>
        <v>9.999985442910031E-5</v>
      </c>
    </row>
    <row r="190" spans="1:13" x14ac:dyDescent="0.25">
      <c r="A190">
        <f t="shared" si="16"/>
        <v>15.583333333333375</v>
      </c>
      <c r="B190" s="1">
        <v>48427</v>
      </c>
      <c r="C190" s="2">
        <v>461.28712585808188</v>
      </c>
      <c r="D190" s="2">
        <f t="shared" si="17"/>
        <v>4.1667549233193046E-3</v>
      </c>
      <c r="E190" s="5">
        <f t="shared" si="21"/>
        <v>3.7153864314779073E-2</v>
      </c>
      <c r="F190" s="5">
        <f t="shared" si="18"/>
        <v>3.6084291699792326E-2</v>
      </c>
      <c r="G190" s="1">
        <v>48427</v>
      </c>
      <c r="H190" s="2">
        <v>461.98169492116239</v>
      </c>
      <c r="I190" s="5">
        <f t="shared" si="22"/>
        <v>3.7253864199082054E-2</v>
      </c>
      <c r="J190" s="5">
        <f t="shared" si="19"/>
        <v>3.6184331551277982E-2</v>
      </c>
      <c r="K190" s="7">
        <f t="shared" si="20"/>
        <v>1.0003985148565597E-4</v>
      </c>
      <c r="M190" s="7">
        <f t="shared" si="23"/>
        <v>9.9999884302981457E-5</v>
      </c>
    </row>
    <row r="191" spans="1:13" x14ac:dyDescent="0.25">
      <c r="A191">
        <f t="shared" si="16"/>
        <v>15.666666666666709</v>
      </c>
      <c r="B191" s="1">
        <v>48458</v>
      </c>
      <c r="C191" s="2">
        <v>463.51386813932379</v>
      </c>
      <c r="D191" s="2">
        <f t="shared" si="17"/>
        <v>4.8272369992978792E-3</v>
      </c>
      <c r="E191" s="5">
        <f t="shared" si="21"/>
        <v>3.696825506856638E-2</v>
      </c>
      <c r="F191" s="5">
        <f t="shared" si="18"/>
        <v>3.6207411046116356E-2</v>
      </c>
      <c r="G191" s="1">
        <v>48458</v>
      </c>
      <c r="H191" s="2">
        <v>464.21552307862549</v>
      </c>
      <c r="I191" s="5">
        <f t="shared" si="22"/>
        <v>3.7068254979530257E-2</v>
      </c>
      <c r="J191" s="5">
        <f t="shared" si="19"/>
        <v>3.630746250057193E-2</v>
      </c>
      <c r="K191" s="7">
        <f t="shared" si="20"/>
        <v>1.0005145445557417E-4</v>
      </c>
      <c r="M191" s="7">
        <f t="shared" si="23"/>
        <v>9.999991096387717E-5</v>
      </c>
    </row>
    <row r="192" spans="1:13" x14ac:dyDescent="0.25">
      <c r="A192">
        <f t="shared" si="16"/>
        <v>15.750000000000043</v>
      </c>
      <c r="B192" s="1">
        <v>48488</v>
      </c>
      <c r="C192" s="2">
        <v>464.21455443457</v>
      </c>
      <c r="D192" s="2">
        <f t="shared" si="17"/>
        <v>1.5116835620452296E-3</v>
      </c>
      <c r="E192" s="5">
        <f t="shared" si="21"/>
        <v>3.6782679039018662E-2</v>
      </c>
      <c r="F192" s="5">
        <f t="shared" si="18"/>
        <v>3.6111794774813077E-2</v>
      </c>
      <c r="G192" s="1">
        <v>48488</v>
      </c>
      <c r="H192" s="2">
        <v>464.92100875407124</v>
      </c>
      <c r="I192" s="5">
        <f t="shared" si="22"/>
        <v>3.6882678973431338E-2</v>
      </c>
      <c r="J192" s="5">
        <f t="shared" si="19"/>
        <v>3.6211836715133394E-2</v>
      </c>
      <c r="K192" s="7">
        <f t="shared" si="20"/>
        <v>1.0004194032031677E-4</v>
      </c>
      <c r="M192" s="7">
        <f t="shared" si="23"/>
        <v>9.9999934412675628E-5</v>
      </c>
    </row>
    <row r="193" spans="1:13" x14ac:dyDescent="0.25">
      <c r="A193">
        <f t="shared" si="16"/>
        <v>15.833333333333377</v>
      </c>
      <c r="B193" s="1">
        <v>48519</v>
      </c>
      <c r="C193" s="2">
        <v>465.05077230464184</v>
      </c>
      <c r="D193" s="2">
        <f t="shared" si="17"/>
        <v>1.8013607330567005E-3</v>
      </c>
      <c r="E193" s="5">
        <f t="shared" si="21"/>
        <v>3.659713622019134E-2</v>
      </c>
      <c r="F193" s="5">
        <f t="shared" si="18"/>
        <v>3.6036116850594713E-2</v>
      </c>
      <c r="G193" s="1">
        <v>48519</v>
      </c>
      <c r="H193" s="2">
        <v>465.76224466804223</v>
      </c>
      <c r="I193" s="5">
        <f t="shared" si="22"/>
        <v>3.6697136174842049E-2</v>
      </c>
      <c r="J193" s="5">
        <f t="shared" si="19"/>
        <v>3.6136151204943401E-2</v>
      </c>
      <c r="K193" s="7">
        <f t="shared" si="20"/>
        <v>1.0003435434868813E-4</v>
      </c>
      <c r="M193" s="7">
        <f t="shared" si="23"/>
        <v>9.99999546507091E-5</v>
      </c>
    </row>
    <row r="194" spans="1:13" x14ac:dyDescent="0.25">
      <c r="A194">
        <f t="shared" si="16"/>
        <v>15.91666666666671</v>
      </c>
      <c r="B194" s="1">
        <v>48549</v>
      </c>
      <c r="C194" s="2">
        <v>466.92807912168126</v>
      </c>
      <c r="D194" s="2">
        <f t="shared" si="17"/>
        <v>4.0367781946391013E-3</v>
      </c>
      <c r="E194" s="5">
        <f t="shared" si="21"/>
        <v>3.6411626606140945E-2</v>
      </c>
      <c r="F194" s="5">
        <f t="shared" si="18"/>
        <v>3.610631920361862E-2</v>
      </c>
      <c r="G194" s="1">
        <v>48549</v>
      </c>
      <c r="H194" s="2">
        <v>467.64618415588467</v>
      </c>
      <c r="I194" s="5">
        <f t="shared" si="22"/>
        <v>3.6511626577820033E-2</v>
      </c>
      <c r="J194" s="5">
        <f t="shared" si="19"/>
        <v>3.6206360060371923E-2</v>
      </c>
      <c r="K194" s="7">
        <f t="shared" si="20"/>
        <v>1.0004085675330288E-4</v>
      </c>
      <c r="M194" s="7">
        <f t="shared" si="23"/>
        <v>9.9999971679087807E-5</v>
      </c>
    </row>
    <row r="195" spans="1:13" x14ac:dyDescent="0.25">
      <c r="A195">
        <f t="shared" si="16"/>
        <v>16.000000000000043</v>
      </c>
      <c r="B195" s="1">
        <v>48580</v>
      </c>
      <c r="C195" s="2">
        <v>465.27981913314898</v>
      </c>
      <c r="D195" s="2">
        <f t="shared" si="17"/>
        <v>-3.5300082865711291E-3</v>
      </c>
      <c r="E195" s="5">
        <f t="shared" si="21"/>
        <v>3.6226150190925344E-2</v>
      </c>
      <c r="F195" s="5">
        <f t="shared" si="18"/>
        <v>3.5685999999999884E-2</v>
      </c>
      <c r="G195" s="1">
        <v>48580</v>
      </c>
      <c r="H195" s="2">
        <v>465.99913662044514</v>
      </c>
      <c r="I195" s="5">
        <f t="shared" si="22"/>
        <v>3.6326150176424044E-2</v>
      </c>
      <c r="J195" s="5">
        <f t="shared" si="19"/>
        <v>3.5786000000000096E-2</v>
      </c>
      <c r="K195" s="7">
        <f t="shared" si="20"/>
        <v>1.0000000000021103E-4</v>
      </c>
      <c r="M195" s="7">
        <f t="shared" si="23"/>
        <v>9.9999985498699928E-5</v>
      </c>
    </row>
    <row r="196" spans="1:13" x14ac:dyDescent="0.25">
      <c r="A196">
        <f t="shared" si="16"/>
        <v>16.083333333333375</v>
      </c>
      <c r="B196" s="1">
        <v>48611</v>
      </c>
      <c r="C196" s="2">
        <v>468.27855441859907</v>
      </c>
      <c r="D196" s="2">
        <f t="shared" si="17"/>
        <v>6.4450147247669953E-3</v>
      </c>
      <c r="E196" s="5">
        <f t="shared" si="21"/>
        <v>3.6232151668208701E-2</v>
      </c>
      <c r="F196" s="5">
        <f t="shared" si="18"/>
        <v>3.5911557280121409E-2</v>
      </c>
      <c r="G196" s="1">
        <v>48611</v>
      </c>
      <c r="H196" s="2">
        <v>469.00627920751532</v>
      </c>
      <c r="I196" s="5">
        <f t="shared" si="22"/>
        <v>3.6332151653564626E-2</v>
      </c>
      <c r="J196" s="5">
        <f t="shared" si="19"/>
        <v>3.6011578752432216E-2</v>
      </c>
      <c r="K196" s="7">
        <f t="shared" si="20"/>
        <v>1.0002147231080727E-4</v>
      </c>
      <c r="M196" s="7">
        <f t="shared" si="23"/>
        <v>9.9999985355925247E-5</v>
      </c>
    </row>
    <row r="197" spans="1:13" x14ac:dyDescent="0.25">
      <c r="A197">
        <f t="shared" ref="A197:A260" si="24">A196+1/12</f>
        <v>16.166666666666707</v>
      </c>
      <c r="B197" s="1">
        <v>48639</v>
      </c>
      <c r="C197" s="2">
        <v>470.386764866026</v>
      </c>
      <c r="D197" s="2">
        <f t="shared" ref="D197:D260" si="25">C197/C196-1</f>
        <v>4.5020435540645831E-3</v>
      </c>
      <c r="E197" s="5">
        <f t="shared" si="21"/>
        <v>3.6238153180250254E-2</v>
      </c>
      <c r="F197" s="5">
        <f t="shared" ref="F197:F260" si="26">(C197/$C$3)^(1/A197)-1</f>
        <v>3.6010996240730009E-2</v>
      </c>
      <c r="G197" s="1">
        <v>48639</v>
      </c>
      <c r="H197" s="2">
        <v>471.12155420243289</v>
      </c>
      <c r="I197" s="5">
        <f t="shared" si="22"/>
        <v>3.6338153165460518E-2</v>
      </c>
      <c r="J197" s="5">
        <f t="shared" ref="J197:J260" si="27">(H197/$H$3)^(1/A197)-1</f>
        <v>3.6111027011176189E-2</v>
      </c>
      <c r="K197" s="7">
        <f t="shared" ref="K197:K260" si="28">J197-F197</f>
        <v>1.0003077044618003E-4</v>
      </c>
      <c r="M197" s="7">
        <f t="shared" si="23"/>
        <v>9.9999985210263986E-5</v>
      </c>
    </row>
    <row r="198" spans="1:13" x14ac:dyDescent="0.25">
      <c r="A198">
        <f t="shared" si="24"/>
        <v>16.250000000000039</v>
      </c>
      <c r="B198" s="1">
        <v>48670</v>
      </c>
      <c r="C198" s="2">
        <v>473.76423175235379</v>
      </c>
      <c r="D198" s="2">
        <f t="shared" si="25"/>
        <v>7.180191150339299E-3</v>
      </c>
      <c r="E198" s="5">
        <f t="shared" si="21"/>
        <v>3.6244154727050892E-2</v>
      </c>
      <c r="F198" s="5">
        <f t="shared" si="26"/>
        <v>3.6279207328735019E-2</v>
      </c>
      <c r="G198" s="1">
        <v>48670</v>
      </c>
      <c r="H198" s="2">
        <v>474.50811254683708</v>
      </c>
      <c r="I198" s="5">
        <f t="shared" si="22"/>
        <v>3.6344154712111498E-2</v>
      </c>
      <c r="J198" s="5">
        <f t="shared" si="27"/>
        <v>3.6379263695904163E-2</v>
      </c>
      <c r="K198" s="7">
        <f t="shared" si="28"/>
        <v>1.0005636716914346E-4</v>
      </c>
      <c r="M198" s="7">
        <f t="shared" si="23"/>
        <v>9.9999985060605923E-5</v>
      </c>
    </row>
    <row r="199" spans="1:13" x14ac:dyDescent="0.25">
      <c r="A199">
        <f t="shared" si="24"/>
        <v>16.333333333333371</v>
      </c>
      <c r="B199" s="1">
        <v>48700</v>
      </c>
      <c r="C199" s="2">
        <v>475.53061694313396</v>
      </c>
      <c r="D199" s="2">
        <f t="shared" si="25"/>
        <v>3.7284055494157808E-3</v>
      </c>
      <c r="E199" s="5">
        <f t="shared" si="21"/>
        <v>3.6250156308610393E-2</v>
      </c>
      <c r="F199" s="5">
        <f t="shared" si="26"/>
        <v>3.632690399433125E-2</v>
      </c>
      <c r="G199" s="1">
        <v>48700</v>
      </c>
      <c r="H199" s="2">
        <v>476.28110101372465</v>
      </c>
      <c r="I199" s="5">
        <f t="shared" si="22"/>
        <v>3.6350156293518454E-2</v>
      </c>
      <c r="J199" s="5">
        <f t="shared" si="27"/>
        <v>3.6426964669758588E-2</v>
      </c>
      <c r="K199" s="7">
        <f t="shared" si="28"/>
        <v>1.000606754273381E-4</v>
      </c>
      <c r="M199" s="7">
        <f t="shared" si="23"/>
        <v>9.9999984908061279E-5</v>
      </c>
    </row>
    <row r="200" spans="1:13" x14ac:dyDescent="0.25">
      <c r="A200">
        <f t="shared" si="24"/>
        <v>16.416666666666703</v>
      </c>
      <c r="B200" s="1">
        <v>48731</v>
      </c>
      <c r="C200" s="2">
        <v>476.40733800066806</v>
      </c>
      <c r="D200" s="2">
        <f t="shared" si="25"/>
        <v>1.8436690011043311E-3</v>
      </c>
      <c r="E200" s="5">
        <f t="shared" si="21"/>
        <v>3.6256157924928978E-2</v>
      </c>
      <c r="F200" s="5">
        <f t="shared" si="26"/>
        <v>3.6255473652039516E-2</v>
      </c>
      <c r="G200" s="1">
        <v>48731</v>
      </c>
      <c r="H200" s="2">
        <v>477.16304259401232</v>
      </c>
      <c r="I200" s="5">
        <f t="shared" si="22"/>
        <v>3.6356157909681164E-2</v>
      </c>
      <c r="J200" s="5">
        <f t="shared" si="27"/>
        <v>3.6355527136653354E-2</v>
      </c>
      <c r="K200" s="7">
        <f t="shared" si="28"/>
        <v>1.000534846138379E-4</v>
      </c>
      <c r="M200" s="7">
        <f t="shared" si="23"/>
        <v>9.9999984752185966E-5</v>
      </c>
    </row>
    <row r="201" spans="1:13" x14ac:dyDescent="0.25">
      <c r="A201">
        <f t="shared" si="24"/>
        <v>16.500000000000036</v>
      </c>
      <c r="B201" s="1">
        <v>48761</v>
      </c>
      <c r="C201" s="2">
        <v>476.03088917518255</v>
      </c>
      <c r="D201" s="2">
        <f t="shared" si="25"/>
        <v>-7.9018267658370611E-4</v>
      </c>
      <c r="E201" s="5">
        <f t="shared" si="21"/>
        <v>3.6262159576007091E-2</v>
      </c>
      <c r="F201" s="5">
        <f t="shared" si="26"/>
        <v>3.601946639394793E-2</v>
      </c>
      <c r="G201" s="1">
        <v>48761</v>
      </c>
      <c r="H201" s="2">
        <v>476.78983050137873</v>
      </c>
      <c r="I201" s="5">
        <f t="shared" si="22"/>
        <v>3.6362159560600071E-2</v>
      </c>
      <c r="J201" s="5">
        <f t="shared" si="27"/>
        <v>3.6119496800423923E-2</v>
      </c>
      <c r="K201" s="7">
        <f t="shared" si="28"/>
        <v>1.0003040647599271E-4</v>
      </c>
      <c r="M201" s="7">
        <f t="shared" si="23"/>
        <v>9.9999984592979985E-5</v>
      </c>
    </row>
    <row r="202" spans="1:13" x14ac:dyDescent="0.25">
      <c r="A202">
        <f t="shared" si="24"/>
        <v>16.583333333333368</v>
      </c>
      <c r="B202" s="1">
        <v>48792</v>
      </c>
      <c r="C202" s="2">
        <v>478.01716172671559</v>
      </c>
      <c r="D202" s="2">
        <f t="shared" si="25"/>
        <v>4.1725707232458387E-3</v>
      </c>
      <c r="E202" s="5">
        <f t="shared" si="21"/>
        <v>3.6268161261844512E-2</v>
      </c>
      <c r="F202" s="5">
        <f t="shared" si="26"/>
        <v>3.609537838717114E-2</v>
      </c>
      <c r="G202" s="1">
        <v>48792</v>
      </c>
      <c r="H202" s="2">
        <v>478.78311969488254</v>
      </c>
      <c r="I202" s="5">
        <f t="shared" si="22"/>
        <v>3.6368161246274733E-2</v>
      </c>
      <c r="J202" s="5">
        <f t="shared" si="27"/>
        <v>3.6195415835103217E-2</v>
      </c>
      <c r="K202" s="7">
        <f t="shared" si="28"/>
        <v>1.0003744793207758E-4</v>
      </c>
      <c r="M202" s="7">
        <f t="shared" si="23"/>
        <v>9.9999984430221289E-5</v>
      </c>
    </row>
    <row r="203" spans="1:13" x14ac:dyDescent="0.25">
      <c r="A203">
        <f t="shared" si="24"/>
        <v>16.6666666666667</v>
      </c>
      <c r="B203" s="1">
        <v>48823</v>
      </c>
      <c r="C203" s="2">
        <v>480.32744573683169</v>
      </c>
      <c r="D203" s="2">
        <f t="shared" si="25"/>
        <v>4.8330566245169404E-3</v>
      </c>
      <c r="E203" s="5">
        <f t="shared" si="21"/>
        <v>3.6274162982441904E-2</v>
      </c>
      <c r="F203" s="5">
        <f t="shared" si="26"/>
        <v>3.6211416041037392E-2</v>
      </c>
      <c r="G203" s="1">
        <v>48823</v>
      </c>
      <c r="H203" s="2">
        <v>481.10097416676211</v>
      </c>
      <c r="I203" s="5">
        <f t="shared" si="22"/>
        <v>3.6374162966706036E-2</v>
      </c>
      <c r="J203" s="5">
        <f t="shared" si="27"/>
        <v>3.631146440748001E-2</v>
      </c>
      <c r="K203" s="7">
        <f t="shared" si="28"/>
        <v>1.0004836644261772E-4</v>
      </c>
      <c r="M203" s="7">
        <f t="shared" si="23"/>
        <v>9.9999984264131925E-5</v>
      </c>
    </row>
    <row r="204" spans="1:13" x14ac:dyDescent="0.25">
      <c r="A204">
        <f t="shared" si="24"/>
        <v>16.750000000000032</v>
      </c>
      <c r="B204" s="1">
        <v>48853</v>
      </c>
      <c r="C204" s="2">
        <v>481.05633494314026</v>
      </c>
      <c r="D204" s="2">
        <f t="shared" si="25"/>
        <v>1.5174839846814336E-3</v>
      </c>
      <c r="E204" s="5">
        <f t="shared" si="21"/>
        <v>3.628016473779927E-2</v>
      </c>
      <c r="F204" s="5">
        <f t="shared" si="26"/>
        <v>3.6121845945013886E-2</v>
      </c>
      <c r="G204" s="1">
        <v>48853</v>
      </c>
      <c r="H204" s="2">
        <v>481.83491163521347</v>
      </c>
      <c r="I204" s="5">
        <f t="shared" si="22"/>
        <v>3.6380164721893982E-2</v>
      </c>
      <c r="J204" s="5">
        <f t="shared" si="27"/>
        <v>3.622188538094151E-2</v>
      </c>
      <c r="K204" s="7">
        <f t="shared" si="28"/>
        <v>1.0003943592762354E-4</v>
      </c>
      <c r="M204" s="7">
        <f t="shared" si="23"/>
        <v>9.9999984094711891E-5</v>
      </c>
    </row>
    <row r="205" spans="1:13" x14ac:dyDescent="0.25">
      <c r="A205">
        <f t="shared" si="24"/>
        <v>16.833333333333364</v>
      </c>
      <c r="B205" s="1">
        <v>48884</v>
      </c>
      <c r="C205" s="2">
        <v>481.92568207242442</v>
      </c>
      <c r="D205" s="2">
        <f t="shared" si="25"/>
        <v>1.8071628334068723E-3</v>
      </c>
      <c r="E205" s="5">
        <f t="shared" si="21"/>
        <v>3.628616652791683E-2</v>
      </c>
      <c r="F205" s="5">
        <f t="shared" si="26"/>
        <v>3.6050969601048033E-2</v>
      </c>
      <c r="G205" s="1">
        <v>48884</v>
      </c>
      <c r="H205" s="2">
        <v>482.70954725746145</v>
      </c>
      <c r="I205" s="5">
        <f t="shared" si="22"/>
        <v>3.6386166511838791E-2</v>
      </c>
      <c r="J205" s="5">
        <f t="shared" si="27"/>
        <v>3.6151001914215497E-2</v>
      </c>
      <c r="K205" s="7">
        <f t="shared" si="28"/>
        <v>1.0003231316746408E-4</v>
      </c>
      <c r="M205" s="7">
        <f t="shared" si="23"/>
        <v>9.9999983921961189E-5</v>
      </c>
    </row>
    <row r="206" spans="1:13" x14ac:dyDescent="0.25">
      <c r="A206">
        <f t="shared" si="24"/>
        <v>16.916666666666696</v>
      </c>
      <c r="B206" s="1">
        <v>48914</v>
      </c>
      <c r="C206" s="2">
        <v>483.87391157781246</v>
      </c>
      <c r="D206" s="2">
        <f t="shared" si="25"/>
        <v>4.0425932417837984E-3</v>
      </c>
      <c r="E206" s="5">
        <f t="shared" si="21"/>
        <v>3.6292168352794807E-2</v>
      </c>
      <c r="F206" s="5">
        <f t="shared" si="26"/>
        <v>3.611730443326433E-2</v>
      </c>
      <c r="G206" s="1">
        <v>48914</v>
      </c>
      <c r="H206" s="2">
        <v>484.66484281162656</v>
      </c>
      <c r="I206" s="5">
        <f t="shared" si="22"/>
        <v>3.6392168336540687E-2</v>
      </c>
      <c r="J206" s="5">
        <f t="shared" si="27"/>
        <v>3.6217342874376612E-2</v>
      </c>
      <c r="K206" s="7">
        <f t="shared" si="28"/>
        <v>1.0003844111228233E-4</v>
      </c>
      <c r="M206" s="7">
        <f t="shared" si="23"/>
        <v>9.9999983745879817E-5</v>
      </c>
    </row>
    <row r="207" spans="1:13" x14ac:dyDescent="0.25">
      <c r="A207">
        <f t="shared" si="24"/>
        <v>17.000000000000028</v>
      </c>
      <c r="B207" s="1">
        <v>48945</v>
      </c>
      <c r="C207" s="2">
        <v>482.16862520445466</v>
      </c>
      <c r="D207" s="2">
        <f t="shared" si="25"/>
        <v>-3.5242370637367237E-3</v>
      </c>
      <c r="E207" s="5">
        <f t="shared" si="21"/>
        <v>3.6298170212434311E-2</v>
      </c>
      <c r="F207" s="5">
        <f t="shared" si="26"/>
        <v>3.5721999999999809E-2</v>
      </c>
      <c r="G207" s="1">
        <v>48945</v>
      </c>
      <c r="H207" s="2">
        <v>482.96065250634416</v>
      </c>
      <c r="I207" s="5">
        <f t="shared" si="22"/>
        <v>3.6398170195997892E-2</v>
      </c>
      <c r="J207" s="5">
        <f t="shared" si="27"/>
        <v>3.582200000000002E-2</v>
      </c>
      <c r="K207" s="7">
        <f t="shared" si="28"/>
        <v>1.0000000000021103E-4</v>
      </c>
      <c r="M207" s="7">
        <f t="shared" si="23"/>
        <v>9.9999983563581196E-5</v>
      </c>
    </row>
    <row r="208" spans="1:13" x14ac:dyDescent="0.25">
      <c r="A208">
        <f t="shared" si="24"/>
        <v>17.083333333333361</v>
      </c>
      <c r="B208" s="1">
        <v>48976</v>
      </c>
      <c r="C208" s="2">
        <v>485.27901950563046</v>
      </c>
      <c r="D208" s="2">
        <f t="shared" si="25"/>
        <v>6.4508434157384276E-3</v>
      </c>
      <c r="E208" s="5">
        <f t="shared" ref="E208:E271" si="29">C208/C196-1</f>
        <v>3.6304171793941409E-2</v>
      </c>
      <c r="F208" s="5">
        <f t="shared" si="26"/>
        <v>3.5934535493876041E-2</v>
      </c>
      <c r="G208" s="1">
        <v>48976</v>
      </c>
      <c r="H208" s="2">
        <v>486.08006436044263</v>
      </c>
      <c r="I208" s="5">
        <f t="shared" ref="I208:I271" si="30">H208/H196-1</f>
        <v>3.6404171777352445E-2</v>
      </c>
      <c r="J208" s="5">
        <f t="shared" si="27"/>
        <v>3.6034555709144156E-2</v>
      </c>
      <c r="K208" s="7">
        <f t="shared" si="28"/>
        <v>1.0002021526811511E-4</v>
      </c>
      <c r="M208" s="7">
        <f t="shared" ref="M208:M271" si="31">I208-E208</f>
        <v>9.9999983411036553E-5</v>
      </c>
    </row>
    <row r="209" spans="1:13" x14ac:dyDescent="0.25">
      <c r="A209">
        <f t="shared" si="24"/>
        <v>17.166666666666693</v>
      </c>
      <c r="B209" s="1">
        <v>49004</v>
      </c>
      <c r="C209" s="2">
        <v>487.46658986817721</v>
      </c>
      <c r="D209" s="2">
        <f t="shared" si="25"/>
        <v>4.5078609925797153E-3</v>
      </c>
      <c r="E209" s="5">
        <f t="shared" si="29"/>
        <v>3.6310173410206037E-2</v>
      </c>
      <c r="F209" s="5">
        <f t="shared" si="26"/>
        <v>3.6028421667656518E-2</v>
      </c>
      <c r="G209" s="1">
        <v>49004</v>
      </c>
      <c r="H209" s="2">
        <v>488.27517168034029</v>
      </c>
      <c r="I209" s="5">
        <f t="shared" si="30"/>
        <v>3.6410173393460976E-2</v>
      </c>
      <c r="J209" s="5">
        <f t="shared" si="27"/>
        <v>3.6128450645390275E-2</v>
      </c>
      <c r="K209" s="7">
        <f t="shared" si="28"/>
        <v>1.0002897773375707E-4</v>
      </c>
      <c r="M209" s="7">
        <f t="shared" si="31"/>
        <v>9.9999983254939195E-5</v>
      </c>
    </row>
    <row r="210" spans="1:13" x14ac:dyDescent="0.25">
      <c r="A210">
        <f t="shared" si="24"/>
        <v>17.250000000000025</v>
      </c>
      <c r="B210" s="1">
        <v>49035</v>
      </c>
      <c r="C210" s="2">
        <v>490.96953653042061</v>
      </c>
      <c r="D210" s="2">
        <f t="shared" si="25"/>
        <v>7.1860240989862767E-3</v>
      </c>
      <c r="E210" s="5">
        <f t="shared" si="29"/>
        <v>3.6316175061228195E-2</v>
      </c>
      <c r="F210" s="5">
        <f t="shared" si="26"/>
        <v>3.6281350349682828E-2</v>
      </c>
      <c r="G210" s="1">
        <v>49035</v>
      </c>
      <c r="H210" s="2">
        <v>491.78788303329441</v>
      </c>
      <c r="I210" s="5">
        <f t="shared" si="30"/>
        <v>3.6416175044323706E-2</v>
      </c>
      <c r="J210" s="5">
        <f t="shared" si="27"/>
        <v>3.6381403448323191E-2</v>
      </c>
      <c r="K210" s="7">
        <f t="shared" si="28"/>
        <v>1.0005309864036249E-4</v>
      </c>
      <c r="M210" s="7">
        <f t="shared" si="31"/>
        <v>9.9999983095511169E-5</v>
      </c>
    </row>
    <row r="211" spans="1:13" x14ac:dyDescent="0.25">
      <c r="A211">
        <f t="shared" si="24"/>
        <v>17.333333333333357</v>
      </c>
      <c r="B211" s="1">
        <v>49065</v>
      </c>
      <c r="C211" s="2">
        <v>492.8029240603563</v>
      </c>
      <c r="D211" s="2">
        <f t="shared" si="25"/>
        <v>3.7342185075104339E-3</v>
      </c>
      <c r="E211" s="5">
        <f t="shared" si="29"/>
        <v>3.6322176747008106E-2</v>
      </c>
      <c r="F211" s="5">
        <f t="shared" si="26"/>
        <v>3.6326631267938225E-2</v>
      </c>
      <c r="G211" s="1">
        <v>49065</v>
      </c>
      <c r="H211" s="2">
        <v>493.62829544797734</v>
      </c>
      <c r="I211" s="5">
        <f t="shared" si="30"/>
        <v>3.6422176729940858E-2</v>
      </c>
      <c r="J211" s="5">
        <f t="shared" si="27"/>
        <v>3.6426688441860033E-2</v>
      </c>
      <c r="K211" s="7">
        <f t="shared" si="28"/>
        <v>1.0005717392180813E-4</v>
      </c>
      <c r="M211" s="7">
        <f t="shared" si="31"/>
        <v>9.9999982932752474E-5</v>
      </c>
    </row>
    <row r="212" spans="1:13" x14ac:dyDescent="0.25">
      <c r="A212">
        <f t="shared" si="24"/>
        <v>17.416666666666689</v>
      </c>
      <c r="B212" s="1">
        <v>49096</v>
      </c>
      <c r="C212" s="2">
        <v>493.71434879880491</v>
      </c>
      <c r="D212" s="2">
        <f t="shared" si="25"/>
        <v>1.8494710440009055E-3</v>
      </c>
      <c r="E212" s="5">
        <f t="shared" si="29"/>
        <v>3.6328178467546213E-2</v>
      </c>
      <c r="F212" s="5">
        <f t="shared" si="26"/>
        <v>3.6259647953180263E-2</v>
      </c>
      <c r="G212" s="1">
        <v>49096</v>
      </c>
      <c r="H212" s="2">
        <v>494.54522305952105</v>
      </c>
      <c r="I212" s="5">
        <f t="shared" si="30"/>
        <v>3.6428178450312432E-2</v>
      </c>
      <c r="J212" s="5">
        <f t="shared" si="27"/>
        <v>3.6359698366134063E-2</v>
      </c>
      <c r="K212" s="7">
        <f t="shared" si="28"/>
        <v>1.0005041295380046E-4</v>
      </c>
      <c r="M212" s="7">
        <f t="shared" si="31"/>
        <v>9.999998276621902E-5</v>
      </c>
    </row>
    <row r="213" spans="1:13" x14ac:dyDescent="0.25">
      <c r="A213">
        <f t="shared" si="24"/>
        <v>17.500000000000021</v>
      </c>
      <c r="B213" s="1">
        <v>49126</v>
      </c>
      <c r="C213" s="2">
        <v>493.3270812941135</v>
      </c>
      <c r="D213" s="2">
        <f t="shared" si="25"/>
        <v>-7.8439588728507204E-4</v>
      </c>
      <c r="E213" s="5">
        <f t="shared" si="29"/>
        <v>3.6334180222842294E-2</v>
      </c>
      <c r="F213" s="5">
        <f t="shared" si="26"/>
        <v>3.6037447466438444E-2</v>
      </c>
      <c r="G213" s="1">
        <v>49126</v>
      </c>
      <c r="H213" s="2">
        <v>494.16127710598664</v>
      </c>
      <c r="I213" s="5">
        <f t="shared" si="30"/>
        <v>3.6434180205438871E-2</v>
      </c>
      <c r="J213" s="5">
        <f t="shared" si="27"/>
        <v>3.6137476135153168E-2</v>
      </c>
      <c r="K213" s="7">
        <f t="shared" si="28"/>
        <v>1.0002866871472449E-4</v>
      </c>
      <c r="M213" s="7">
        <f t="shared" si="31"/>
        <v>9.9999982596576942E-5</v>
      </c>
    </row>
    <row r="214" spans="1:13" x14ac:dyDescent="0.25">
      <c r="A214">
        <f t="shared" si="24"/>
        <v>17.583333333333353</v>
      </c>
      <c r="B214" s="1">
        <v>49157</v>
      </c>
      <c r="C214" s="2">
        <v>495.38839238915278</v>
      </c>
      <c r="D214" s="2">
        <f t="shared" si="25"/>
        <v>4.178386253663513E-3</v>
      </c>
      <c r="E214" s="5">
        <f t="shared" si="29"/>
        <v>3.6340182012896793E-2</v>
      </c>
      <c r="F214" s="5">
        <f t="shared" si="26"/>
        <v>3.6109299317265364E-2</v>
      </c>
      <c r="G214" s="1">
        <v>49157</v>
      </c>
      <c r="H214" s="2">
        <v>496.2300637128514</v>
      </c>
      <c r="I214" s="5">
        <f t="shared" si="30"/>
        <v>3.644018199532062E-2</v>
      </c>
      <c r="J214" s="5">
        <f t="shared" si="27"/>
        <v>3.6209334635082024E-2</v>
      </c>
      <c r="K214" s="7">
        <f t="shared" si="28"/>
        <v>1.000353178166602E-4</v>
      </c>
      <c r="M214" s="7">
        <f t="shared" si="31"/>
        <v>9.9999982423826239E-5</v>
      </c>
    </row>
    <row r="215" spans="1:13" x14ac:dyDescent="0.25">
      <c r="A215">
        <f t="shared" si="24"/>
        <v>17.666666666666686</v>
      </c>
      <c r="B215" s="1">
        <v>49188</v>
      </c>
      <c r="C215" s="2">
        <v>497.7855153818802</v>
      </c>
      <c r="D215" s="2">
        <f t="shared" si="25"/>
        <v>4.8388759800499503E-3</v>
      </c>
      <c r="E215" s="5">
        <f t="shared" si="29"/>
        <v>3.6346183837709933E-2</v>
      </c>
      <c r="F215" s="5">
        <f t="shared" si="26"/>
        <v>3.6219043938939599E-2</v>
      </c>
      <c r="G215" s="1">
        <v>49188</v>
      </c>
      <c r="H215" s="2">
        <v>498.63526870720443</v>
      </c>
      <c r="I215" s="5">
        <f t="shared" si="30"/>
        <v>3.6446183819957234E-2</v>
      </c>
      <c r="J215" s="5">
        <f t="shared" si="27"/>
        <v>3.6319089567035334E-2</v>
      </c>
      <c r="K215" s="7">
        <f t="shared" si="28"/>
        <v>1.0004562809573514E-4</v>
      </c>
      <c r="M215" s="7">
        <f t="shared" si="31"/>
        <v>9.9999982247300778E-5</v>
      </c>
    </row>
    <row r="216" spans="1:13" x14ac:dyDescent="0.25">
      <c r="A216">
        <f t="shared" si="24"/>
        <v>17.750000000000018</v>
      </c>
      <c r="B216" s="1">
        <v>49218</v>
      </c>
      <c r="C216" s="2">
        <v>498.5437841618471</v>
      </c>
      <c r="D216" s="2">
        <f t="shared" si="25"/>
        <v>1.5232841385213192E-3</v>
      </c>
      <c r="E216" s="5">
        <f t="shared" si="29"/>
        <v>3.6352185697281936E-2</v>
      </c>
      <c r="F216" s="5">
        <f t="shared" si="26"/>
        <v>3.6134821471483169E-2</v>
      </c>
      <c r="G216" s="1">
        <v>49218</v>
      </c>
      <c r="H216" s="2">
        <v>499.39884730093326</v>
      </c>
      <c r="I216" s="5">
        <f t="shared" si="30"/>
        <v>3.6452185679349602E-2</v>
      </c>
      <c r="J216" s="5">
        <f t="shared" si="27"/>
        <v>3.6234858685255666E-2</v>
      </c>
      <c r="K216" s="7">
        <f t="shared" si="28"/>
        <v>1.0003721377249697E-4</v>
      </c>
      <c r="M216" s="7">
        <f t="shared" si="31"/>
        <v>9.9999982067666693E-5</v>
      </c>
    </row>
    <row r="217" spans="1:13" x14ac:dyDescent="0.25">
      <c r="A217">
        <f t="shared" si="24"/>
        <v>17.83333333333335</v>
      </c>
      <c r="B217" s="1">
        <v>49249</v>
      </c>
      <c r="C217" s="2">
        <v>499.44762642642939</v>
      </c>
      <c r="D217" s="2">
        <f t="shared" si="25"/>
        <v>1.8129646648825659E-3</v>
      </c>
      <c r="E217" s="5">
        <f t="shared" si="29"/>
        <v>3.6358187591612356E-2</v>
      </c>
      <c r="F217" s="5">
        <f t="shared" si="26"/>
        <v>3.6068194367607553E-2</v>
      </c>
      <c r="G217" s="1">
        <v>49249</v>
      </c>
      <c r="H217" s="2">
        <v>500.30826247489193</v>
      </c>
      <c r="I217" s="5">
        <f t="shared" si="30"/>
        <v>3.645818757349728E-2</v>
      </c>
      <c r="J217" s="5">
        <f t="shared" si="27"/>
        <v>3.6168224868545762E-2</v>
      </c>
      <c r="K217" s="7">
        <f t="shared" si="28"/>
        <v>1.0003050093820853E-4</v>
      </c>
      <c r="M217" s="7">
        <f t="shared" si="31"/>
        <v>9.9999981884923983E-5</v>
      </c>
    </row>
    <row r="218" spans="1:13" x14ac:dyDescent="0.25">
      <c r="A218">
        <f t="shared" si="24"/>
        <v>17.916666666666682</v>
      </c>
      <c r="B218" s="1">
        <v>49279</v>
      </c>
      <c r="C218" s="2">
        <v>501.46959420255155</v>
      </c>
      <c r="D218" s="2">
        <f t="shared" si="25"/>
        <v>4.0484080194542749E-3</v>
      </c>
      <c r="E218" s="5">
        <f t="shared" si="29"/>
        <v>3.6364189520702306E-2</v>
      </c>
      <c r="F218" s="5">
        <f t="shared" si="26"/>
        <v>3.6131082516221547E-2</v>
      </c>
      <c r="G218" s="1">
        <v>49279</v>
      </c>
      <c r="H218" s="2">
        <v>502.33775348506106</v>
      </c>
      <c r="I218" s="5">
        <f t="shared" si="30"/>
        <v>3.6464189502400934E-2</v>
      </c>
      <c r="J218" s="5">
        <f t="shared" si="27"/>
        <v>3.6231118811393959E-2</v>
      </c>
      <c r="K218" s="7">
        <f t="shared" si="28"/>
        <v>1.0003629517241208E-4</v>
      </c>
      <c r="M218" s="7">
        <f t="shared" si="31"/>
        <v>9.9999981698628559E-5</v>
      </c>
    </row>
    <row r="219" spans="1:13" x14ac:dyDescent="0.25">
      <c r="A219">
        <f t="shared" si="24"/>
        <v>18.000000000000014</v>
      </c>
      <c r="B219" s="1">
        <v>49310</v>
      </c>
      <c r="C219" s="2">
        <v>499.70519043098307</v>
      </c>
      <c r="D219" s="2">
        <f t="shared" si="25"/>
        <v>-3.5184661083476065E-3</v>
      </c>
      <c r="E219" s="5">
        <f t="shared" si="29"/>
        <v>3.6370191484550451E-2</v>
      </c>
      <c r="F219" s="5">
        <f t="shared" si="26"/>
        <v>3.5757999999999956E-2</v>
      </c>
      <c r="G219" s="1">
        <v>49310</v>
      </c>
      <c r="H219" s="2">
        <v>500.5743199738248</v>
      </c>
      <c r="I219" s="5">
        <f t="shared" si="30"/>
        <v>3.6470191466062118E-2</v>
      </c>
      <c r="J219" s="5">
        <f t="shared" si="27"/>
        <v>3.5857999999999945E-2</v>
      </c>
      <c r="K219" s="7">
        <f t="shared" si="28"/>
        <v>9.9999999999988987E-5</v>
      </c>
      <c r="M219" s="7">
        <f t="shared" si="31"/>
        <v>9.9999981511667002E-5</v>
      </c>
    </row>
    <row r="220" spans="1:13" x14ac:dyDescent="0.25">
      <c r="A220">
        <f t="shared" si="24"/>
        <v>18.083333333333346</v>
      </c>
      <c r="B220" s="1">
        <v>49341</v>
      </c>
      <c r="C220" s="2">
        <v>502.9316228606487</v>
      </c>
      <c r="D220" s="2">
        <f t="shared" si="25"/>
        <v>6.4566718366141362E-3</v>
      </c>
      <c r="E220" s="5">
        <f t="shared" si="29"/>
        <v>3.6376193170274629E-2</v>
      </c>
      <c r="F220" s="5">
        <f t="shared" si="26"/>
        <v>3.5958954042798918E-2</v>
      </c>
      <c r="G220" s="1">
        <v>49341</v>
      </c>
      <c r="H220" s="2">
        <v>503.8104146752076</v>
      </c>
      <c r="I220" s="5">
        <f t="shared" si="30"/>
        <v>3.6476193151623315E-2</v>
      </c>
      <c r="J220" s="5">
        <f t="shared" si="27"/>
        <v>3.6058973140065786E-2</v>
      </c>
      <c r="K220" s="7">
        <f t="shared" si="28"/>
        <v>1.0001909726686797E-4</v>
      </c>
      <c r="M220" s="7">
        <f t="shared" si="31"/>
        <v>9.9999981348686262E-5</v>
      </c>
    </row>
    <row r="221" spans="1:13" x14ac:dyDescent="0.25">
      <c r="A221">
        <f t="shared" si="24"/>
        <v>18.166666666666679</v>
      </c>
      <c r="B221" s="1">
        <v>49369</v>
      </c>
      <c r="C221" s="2">
        <v>505.20169434349299</v>
      </c>
      <c r="D221" s="2">
        <f t="shared" si="25"/>
        <v>4.5136781615207067E-3</v>
      </c>
      <c r="E221" s="5">
        <f t="shared" si="29"/>
        <v>3.6382194890755004E-2</v>
      </c>
      <c r="F221" s="5">
        <f t="shared" si="26"/>
        <v>3.6047892281914073E-2</v>
      </c>
      <c r="G221" s="1">
        <v>49369</v>
      </c>
      <c r="H221" s="2">
        <v>506.08852164471108</v>
      </c>
      <c r="I221" s="5">
        <f t="shared" si="30"/>
        <v>3.6482194871937157E-2</v>
      </c>
      <c r="J221" s="5">
        <f t="shared" si="27"/>
        <v>3.6147919664325512E-2</v>
      </c>
      <c r="K221" s="7">
        <f t="shared" si="28"/>
        <v>1.0002738241143838E-4</v>
      </c>
      <c r="M221" s="7">
        <f t="shared" si="31"/>
        <v>9.9999981182152808E-5</v>
      </c>
    </row>
    <row r="222" spans="1:13" x14ac:dyDescent="0.25">
      <c r="A222">
        <f t="shared" si="24"/>
        <v>18.250000000000011</v>
      </c>
      <c r="B222" s="1">
        <v>49400</v>
      </c>
      <c r="C222" s="2">
        <v>508.83503257288095</v>
      </c>
      <c r="D222" s="2">
        <f t="shared" si="25"/>
        <v>7.1918567773401332E-3</v>
      </c>
      <c r="E222" s="5">
        <f t="shared" si="29"/>
        <v>3.6388196645991577E-2</v>
      </c>
      <c r="F222" s="5">
        <f t="shared" si="26"/>
        <v>3.6287204655998329E-2</v>
      </c>
      <c r="G222" s="1">
        <v>49400</v>
      </c>
      <c r="H222" s="2">
        <v>509.73233600819128</v>
      </c>
      <c r="I222" s="5">
        <f t="shared" si="30"/>
        <v>3.6488196627003866E-2</v>
      </c>
      <c r="J222" s="5">
        <f t="shared" si="27"/>
        <v>3.6387254844394867E-2</v>
      </c>
      <c r="K222" s="7">
        <f t="shared" si="28"/>
        <v>1.0005018839653879E-4</v>
      </c>
      <c r="M222" s="7">
        <f t="shared" si="31"/>
        <v>9.9999981012288686E-5</v>
      </c>
    </row>
    <row r="223" spans="1:13" x14ac:dyDescent="0.25">
      <c r="A223">
        <f t="shared" si="24"/>
        <v>18.333333333333343</v>
      </c>
      <c r="B223" s="1">
        <v>49430</v>
      </c>
      <c r="C223" s="2">
        <v>510.73809146844258</v>
      </c>
      <c r="D223" s="2">
        <f t="shared" si="25"/>
        <v>3.740031196238558E-3</v>
      </c>
      <c r="E223" s="5">
        <f t="shared" si="29"/>
        <v>3.6394198435985015E-2</v>
      </c>
      <c r="F223" s="5">
        <f t="shared" si="26"/>
        <v>3.6330316636245419E-2</v>
      </c>
      <c r="G223" s="1">
        <v>49430</v>
      </c>
      <c r="H223" s="2">
        <v>511.64286440621453</v>
      </c>
      <c r="I223" s="5">
        <f t="shared" si="30"/>
        <v>3.6494198416824108E-2</v>
      </c>
      <c r="J223" s="5">
        <f t="shared" si="27"/>
        <v>3.6430370690747838E-2</v>
      </c>
      <c r="K223" s="7">
        <f t="shared" si="28"/>
        <v>1.0005405450241867E-4</v>
      </c>
      <c r="M223" s="7">
        <f t="shared" si="31"/>
        <v>9.9999980839093894E-5</v>
      </c>
    </row>
    <row r="224" spans="1:13" x14ac:dyDescent="0.25">
      <c r="A224">
        <f t="shared" si="24"/>
        <v>18.416666666666675</v>
      </c>
      <c r="B224" s="1">
        <v>49461</v>
      </c>
      <c r="C224" s="2">
        <v>511.6856499666797</v>
      </c>
      <c r="D224" s="2">
        <f t="shared" si="25"/>
        <v>1.8552728180363243E-3</v>
      </c>
      <c r="E224" s="5">
        <f t="shared" si="29"/>
        <v>3.6400200260734872E-2</v>
      </c>
      <c r="F224" s="5">
        <f t="shared" si="26"/>
        <v>3.6267279263265007E-2</v>
      </c>
      <c r="G224" s="1">
        <v>49461</v>
      </c>
      <c r="H224" s="2">
        <v>512.59622272962031</v>
      </c>
      <c r="I224" s="5">
        <f t="shared" si="30"/>
        <v>3.6500200241397884E-2</v>
      </c>
      <c r="J224" s="5">
        <f t="shared" si="27"/>
        <v>3.6367326938212097E-2</v>
      </c>
      <c r="K224" s="7">
        <f t="shared" si="28"/>
        <v>1.0004767494709021E-4</v>
      </c>
      <c r="M224" s="7">
        <f t="shared" si="31"/>
        <v>9.9999980663012522E-5</v>
      </c>
    </row>
    <row r="225" spans="1:13" x14ac:dyDescent="0.25">
      <c r="A225">
        <f t="shared" si="24"/>
        <v>18.500000000000007</v>
      </c>
      <c r="B225" s="1">
        <v>49491</v>
      </c>
      <c r="C225" s="2">
        <v>511.28724672709598</v>
      </c>
      <c r="D225" s="2">
        <f t="shared" si="25"/>
        <v>-7.7860936614049248E-4</v>
      </c>
      <c r="E225" s="5">
        <f t="shared" si="29"/>
        <v>3.6406202120241815E-2</v>
      </c>
      <c r="F225" s="5">
        <f t="shared" si="26"/>
        <v>3.6057376795648688E-2</v>
      </c>
      <c r="G225" s="1">
        <v>49491</v>
      </c>
      <c r="H225" s="2">
        <v>512.20122855837008</v>
      </c>
      <c r="I225" s="5">
        <f t="shared" si="30"/>
        <v>3.6506202100724749E-2</v>
      </c>
      <c r="J225" s="5">
        <f t="shared" si="27"/>
        <v>3.6157403914494068E-2</v>
      </c>
      <c r="K225" s="7">
        <f t="shared" si="28"/>
        <v>1.0002711884538051E-4</v>
      </c>
      <c r="M225" s="7">
        <f t="shared" si="31"/>
        <v>9.9999980482934347E-5</v>
      </c>
    </row>
    <row r="226" spans="1:13" x14ac:dyDescent="0.25">
      <c r="A226">
        <f t="shared" si="24"/>
        <v>18.583333333333339</v>
      </c>
      <c r="B226" s="1">
        <v>49522</v>
      </c>
      <c r="C226" s="2">
        <v>513.42657559924464</v>
      </c>
      <c r="D226" s="2">
        <f t="shared" si="25"/>
        <v>4.1842015145949762E-3</v>
      </c>
      <c r="E226" s="5">
        <f t="shared" si="29"/>
        <v>3.6412204014505845E-2</v>
      </c>
      <c r="F226" s="5">
        <f t="shared" si="26"/>
        <v>3.6125596867631504E-2</v>
      </c>
      <c r="G226" s="1">
        <v>49522</v>
      </c>
      <c r="H226" s="2">
        <v>514.3485170274904</v>
      </c>
      <c r="I226" s="5">
        <f t="shared" si="30"/>
        <v>3.6512203994805592E-2</v>
      </c>
      <c r="J226" s="5">
        <f t="shared" si="27"/>
        <v>3.6225630284621113E-2</v>
      </c>
      <c r="K226" s="7">
        <f t="shared" si="28"/>
        <v>1.0003341698960888E-4</v>
      </c>
      <c r="M226" s="7">
        <f t="shared" si="31"/>
        <v>9.9999980299747548E-5</v>
      </c>
    </row>
    <row r="227" spans="1:13" x14ac:dyDescent="0.25">
      <c r="A227">
        <f t="shared" si="24"/>
        <v>18.666666666666671</v>
      </c>
      <c r="B227" s="1">
        <v>49553</v>
      </c>
      <c r="C227" s="2">
        <v>515.91397079676233</v>
      </c>
      <c r="D227" s="2">
        <f t="shared" si="25"/>
        <v>4.8446950659195576E-3</v>
      </c>
      <c r="E227" s="5">
        <f t="shared" si="29"/>
        <v>3.6418205943527182E-2</v>
      </c>
      <c r="F227" s="5">
        <f t="shared" si="26"/>
        <v>3.6229712361759869E-2</v>
      </c>
      <c r="G227" s="1">
        <v>49553</v>
      </c>
      <c r="H227" s="2">
        <v>516.84453413064386</v>
      </c>
      <c r="I227" s="5">
        <f t="shared" si="30"/>
        <v>3.6518205923640412E-2</v>
      </c>
      <c r="J227" s="5">
        <f t="shared" si="27"/>
        <v>3.6329755544966202E-2</v>
      </c>
      <c r="K227" s="7">
        <f t="shared" si="28"/>
        <v>1.000431832063331E-4</v>
      </c>
      <c r="M227" s="7">
        <f t="shared" si="31"/>
        <v>9.999998011323008E-5</v>
      </c>
    </row>
    <row r="228" spans="1:13" x14ac:dyDescent="0.25">
      <c r="A228">
        <f t="shared" si="24"/>
        <v>18.750000000000004</v>
      </c>
      <c r="B228" s="1">
        <v>49583</v>
      </c>
      <c r="C228" s="2">
        <v>516.7028466070534</v>
      </c>
      <c r="D228" s="2">
        <f t="shared" si="25"/>
        <v>1.5290840235877567E-3</v>
      </c>
      <c r="E228" s="5">
        <f t="shared" si="29"/>
        <v>3.6424207907306272E-2</v>
      </c>
      <c r="F228" s="5">
        <f t="shared" si="26"/>
        <v>3.6150253374741093E-2</v>
      </c>
      <c r="G228" s="1">
        <v>49583</v>
      </c>
      <c r="H228" s="2">
        <v>517.63899461839526</v>
      </c>
      <c r="I228" s="5">
        <f t="shared" si="30"/>
        <v>3.6524207887229432E-2</v>
      </c>
      <c r="J228" s="5">
        <f t="shared" si="27"/>
        <v>3.6250288603429937E-2</v>
      </c>
      <c r="K228" s="7">
        <f t="shared" si="28"/>
        <v>1.0003522868884396E-4</v>
      </c>
      <c r="M228" s="7">
        <f t="shared" si="31"/>
        <v>9.9999979923159898E-5</v>
      </c>
    </row>
    <row r="229" spans="1:13" x14ac:dyDescent="0.25">
      <c r="A229">
        <f t="shared" si="24"/>
        <v>18.833333333333336</v>
      </c>
      <c r="B229" s="1">
        <v>49614</v>
      </c>
      <c r="C229" s="2">
        <v>517.64260829411921</v>
      </c>
      <c r="D229" s="2">
        <f t="shared" si="25"/>
        <v>1.818766227507318E-3</v>
      </c>
      <c r="E229" s="5">
        <f t="shared" si="29"/>
        <v>3.6430209905842892E-2</v>
      </c>
      <c r="F229" s="5">
        <f t="shared" si="26"/>
        <v>3.6087413252400058E-2</v>
      </c>
      <c r="G229" s="1">
        <v>49614</v>
      </c>
      <c r="H229" s="2">
        <v>518.58462831058603</v>
      </c>
      <c r="I229" s="5">
        <f t="shared" si="30"/>
        <v>3.6530209885572873E-2</v>
      </c>
      <c r="J229" s="5">
        <f t="shared" si="27"/>
        <v>3.6187442133585712E-2</v>
      </c>
      <c r="K229" s="7">
        <f t="shared" si="28"/>
        <v>1.0002888118565423E-4</v>
      </c>
      <c r="M229" s="7">
        <f t="shared" si="31"/>
        <v>9.9999979729981092E-5</v>
      </c>
    </row>
    <row r="230" spans="1:13" x14ac:dyDescent="0.25">
      <c r="A230">
        <f t="shared" si="24"/>
        <v>18.916666666666668</v>
      </c>
      <c r="B230" s="1">
        <v>49644</v>
      </c>
      <c r="C230" s="2">
        <v>519.74124661794895</v>
      </c>
      <c r="D230" s="2">
        <f t="shared" si="25"/>
        <v>4.0542225276736232E-3</v>
      </c>
      <c r="E230" s="5">
        <f t="shared" si="29"/>
        <v>3.6436211939137486E-2</v>
      </c>
      <c r="F230" s="5">
        <f t="shared" si="26"/>
        <v>3.6147210456880741E-2</v>
      </c>
      <c r="G230" s="1">
        <v>49644</v>
      </c>
      <c r="H230" s="2">
        <v>520.69127210114027</v>
      </c>
      <c r="I230" s="5">
        <f t="shared" si="30"/>
        <v>3.6536211918670736E-2</v>
      </c>
      <c r="J230" s="5">
        <f t="shared" si="27"/>
        <v>3.6247244833036207E-2</v>
      </c>
      <c r="K230" s="7">
        <f t="shared" si="28"/>
        <v>1.0003437615546673E-4</v>
      </c>
      <c r="M230" s="7">
        <f t="shared" si="31"/>
        <v>9.9999979533249572E-5</v>
      </c>
    </row>
    <row r="231" spans="1:13" x14ac:dyDescent="0.25">
      <c r="A231">
        <f t="shared" si="24"/>
        <v>19</v>
      </c>
      <c r="B231" s="1">
        <v>49675</v>
      </c>
      <c r="C231" s="2">
        <v>517.91555392117255</v>
      </c>
      <c r="D231" s="2">
        <f t="shared" si="25"/>
        <v>-3.5126954203779093E-3</v>
      </c>
      <c r="E231" s="5">
        <f t="shared" si="29"/>
        <v>3.6442214007189833E-2</v>
      </c>
      <c r="F231" s="5">
        <f t="shared" si="26"/>
        <v>3.5794000000000104E-2</v>
      </c>
      <c r="G231" s="1">
        <v>49675</v>
      </c>
      <c r="H231" s="2">
        <v>518.8664138904677</v>
      </c>
      <c r="I231" s="5">
        <f t="shared" si="30"/>
        <v>3.654221398652524E-2</v>
      </c>
      <c r="J231" s="5">
        <f t="shared" si="27"/>
        <v>3.5894000000000092E-2</v>
      </c>
      <c r="K231" s="7">
        <f t="shared" si="28"/>
        <v>9.9999999999988987E-5</v>
      </c>
      <c r="M231" s="7">
        <f t="shared" si="31"/>
        <v>9.9999979335407829E-5</v>
      </c>
    </row>
    <row r="232" spans="1:13" x14ac:dyDescent="0.25">
      <c r="A232">
        <f t="shared" si="24"/>
        <v>19.083333333333332</v>
      </c>
      <c r="B232" s="1">
        <v>49706</v>
      </c>
      <c r="C232" s="2">
        <v>521.26258318187058</v>
      </c>
      <c r="D232" s="2">
        <f t="shared" si="25"/>
        <v>6.4624999874158817E-3</v>
      </c>
      <c r="E232" s="5">
        <f t="shared" si="29"/>
        <v>3.644821579712243E-2</v>
      </c>
      <c r="F232" s="5">
        <f t="shared" si="26"/>
        <v>3.5984586478153613E-2</v>
      </c>
      <c r="G232" s="1">
        <v>49706</v>
      </c>
      <c r="H232" s="2">
        <v>522.22378642109663</v>
      </c>
      <c r="I232" s="5">
        <f t="shared" si="30"/>
        <v>3.6548215776284865E-2</v>
      </c>
      <c r="J232" s="5">
        <f t="shared" si="27"/>
        <v>3.6084604574599721E-2</v>
      </c>
      <c r="K232" s="7">
        <f t="shared" si="28"/>
        <v>1.0001809644610837E-4</v>
      </c>
      <c r="M232" s="7">
        <f t="shared" si="31"/>
        <v>9.9999979162435082E-5</v>
      </c>
    </row>
    <row r="233" spans="1:13" x14ac:dyDescent="0.25">
      <c r="A233">
        <f t="shared" si="24"/>
        <v>19.166666666666664</v>
      </c>
      <c r="B233" s="1">
        <v>49735</v>
      </c>
      <c r="C233" s="2">
        <v>523.6184268519977</v>
      </c>
      <c r="D233" s="2">
        <f t="shared" si="25"/>
        <v>4.5194950609088735E-3</v>
      </c>
      <c r="E233" s="5">
        <f t="shared" si="29"/>
        <v>3.645421762180967E-2</v>
      </c>
      <c r="F233" s="5">
        <f t="shared" si="26"/>
        <v>3.6069087925651999E-2</v>
      </c>
      <c r="G233" s="1">
        <v>49735</v>
      </c>
      <c r="H233" s="2">
        <v>524.58819159017696</v>
      </c>
      <c r="I233" s="5">
        <f t="shared" si="30"/>
        <v>3.6554217600796024E-2</v>
      </c>
      <c r="J233" s="5">
        <f t="shared" si="27"/>
        <v>3.616911387923083E-2</v>
      </c>
      <c r="K233" s="7">
        <f t="shared" si="28"/>
        <v>1.000259535788306E-4</v>
      </c>
      <c r="M233" s="7">
        <f t="shared" si="31"/>
        <v>9.999997898635371E-5</v>
      </c>
    </row>
    <row r="234" spans="1:13" x14ac:dyDescent="0.25">
      <c r="A234">
        <f t="shared" si="24"/>
        <v>19.249999999999996</v>
      </c>
      <c r="B234" s="1">
        <v>49766</v>
      </c>
      <c r="C234" s="2">
        <v>527.38726954023821</v>
      </c>
      <c r="D234" s="2">
        <f t="shared" si="25"/>
        <v>7.1976891854224068E-3</v>
      </c>
      <c r="E234" s="5">
        <f t="shared" si="29"/>
        <v>3.6460219481251999E-2</v>
      </c>
      <c r="F234" s="5">
        <f t="shared" si="26"/>
        <v>3.629619172789722E-2</v>
      </c>
      <c r="G234" s="1">
        <v>49766</v>
      </c>
      <c r="H234" s="2">
        <v>528.36826207853937</v>
      </c>
      <c r="I234" s="5">
        <f t="shared" si="30"/>
        <v>3.6560219460059162E-2</v>
      </c>
      <c r="J234" s="5">
        <f t="shared" si="27"/>
        <v>3.6396239308484679E-2</v>
      </c>
      <c r="K234" s="7">
        <f t="shared" si="28"/>
        <v>1.00047580587459E-4</v>
      </c>
      <c r="M234" s="7">
        <f t="shared" si="31"/>
        <v>9.9999978807163714E-5</v>
      </c>
    </row>
    <row r="235" spans="1:13" x14ac:dyDescent="0.25">
      <c r="A235">
        <f t="shared" si="24"/>
        <v>19.333333333333329</v>
      </c>
      <c r="B235" s="1">
        <v>49796</v>
      </c>
      <c r="C235" s="2">
        <v>529.3627797768055</v>
      </c>
      <c r="D235" s="2">
        <f t="shared" si="25"/>
        <v>3.7458436156214692E-3</v>
      </c>
      <c r="E235" s="5">
        <f t="shared" si="29"/>
        <v>3.6466221375449637E-2</v>
      </c>
      <c r="F235" s="5">
        <f t="shared" si="26"/>
        <v>3.6337345754670736E-2</v>
      </c>
      <c r="G235" s="1">
        <v>49796</v>
      </c>
      <c r="H235" s="2">
        <v>530.35171064032465</v>
      </c>
      <c r="I235" s="5">
        <f t="shared" si="30"/>
        <v>3.6566221354074058E-2</v>
      </c>
      <c r="J235" s="5">
        <f t="shared" si="27"/>
        <v>3.64373970125349E-2</v>
      </c>
      <c r="K235" s="7">
        <f t="shared" si="28"/>
        <v>1.0005125786416436E-4</v>
      </c>
      <c r="M235" s="7">
        <f t="shared" si="31"/>
        <v>9.9999978624421004E-5</v>
      </c>
    </row>
    <row r="236" spans="1:13" x14ac:dyDescent="0.25">
      <c r="A236">
        <f t="shared" si="24"/>
        <v>19.416666666666661</v>
      </c>
      <c r="B236" s="1">
        <v>49827</v>
      </c>
      <c r="C236" s="2">
        <v>530.34796325392313</v>
      </c>
      <c r="D236" s="2">
        <f t="shared" si="25"/>
        <v>1.8610743232325699E-3</v>
      </c>
      <c r="E236" s="5">
        <f t="shared" si="29"/>
        <v>3.6472223304403251E-2</v>
      </c>
      <c r="F236" s="5">
        <f t="shared" si="26"/>
        <v>3.6277833331315623E-2</v>
      </c>
      <c r="G236" s="1">
        <v>49827</v>
      </c>
      <c r="H236" s="2">
        <v>531.34300624122898</v>
      </c>
      <c r="I236" s="5">
        <f t="shared" si="30"/>
        <v>3.6572223282841154E-2</v>
      </c>
      <c r="J236" s="5">
        <f t="shared" si="27"/>
        <v>3.6377878550346354E-2</v>
      </c>
      <c r="K236" s="7">
        <f t="shared" si="28"/>
        <v>1.0004521903073105E-4</v>
      </c>
      <c r="M236" s="7">
        <f t="shared" si="31"/>
        <v>9.9999978437903536E-5</v>
      </c>
    </row>
    <row r="237" spans="1:13" x14ac:dyDescent="0.25">
      <c r="A237">
        <f t="shared" si="24"/>
        <v>19.499999999999993</v>
      </c>
      <c r="B237" s="1">
        <v>49857</v>
      </c>
      <c r="C237" s="2">
        <v>529.93809808991989</v>
      </c>
      <c r="D237" s="2">
        <f t="shared" si="25"/>
        <v>-7.7282311312842911E-4</v>
      </c>
      <c r="E237" s="5">
        <f t="shared" si="29"/>
        <v>3.6478225268112396E-2</v>
      </c>
      <c r="F237" s="5">
        <f t="shared" si="26"/>
        <v>3.6078954611159064E-2</v>
      </c>
      <c r="G237" s="1">
        <v>49857</v>
      </c>
      <c r="H237" s="2">
        <v>530.93664046804088</v>
      </c>
      <c r="I237" s="5">
        <f t="shared" si="30"/>
        <v>3.6578225246360896E-2</v>
      </c>
      <c r="J237" s="5">
        <f t="shared" si="27"/>
        <v>3.6178980339116151E-2</v>
      </c>
      <c r="K237" s="7">
        <f t="shared" si="28"/>
        <v>1.0002572795708708E-4</v>
      </c>
      <c r="M237" s="7">
        <f t="shared" si="31"/>
        <v>9.9999978248499488E-5</v>
      </c>
    </row>
    <row r="238" spans="1:13" x14ac:dyDescent="0.25">
      <c r="A238">
        <f t="shared" si="24"/>
        <v>19.583333333333325</v>
      </c>
      <c r="B238" s="1">
        <v>49888</v>
      </c>
      <c r="C238" s="2">
        <v>532.15854746810794</v>
      </c>
      <c r="D238" s="2">
        <f t="shared" si="25"/>
        <v>4.1900165060624328E-3</v>
      </c>
      <c r="E238" s="5">
        <f t="shared" si="29"/>
        <v>3.6484227266577074E-2</v>
      </c>
      <c r="F238" s="5">
        <f t="shared" si="26"/>
        <v>3.6143906902479817E-2</v>
      </c>
      <c r="G238" s="1">
        <v>49888</v>
      </c>
      <c r="H238" s="2">
        <v>533.16556005736402</v>
      </c>
      <c r="I238" s="5">
        <f t="shared" si="30"/>
        <v>3.6584227244632839E-2</v>
      </c>
      <c r="J238" s="5">
        <f t="shared" si="27"/>
        <v>3.6243938612800175E-2</v>
      </c>
      <c r="K238" s="7">
        <f t="shared" si="28"/>
        <v>1.0003171032035851E-4</v>
      </c>
      <c r="M238" s="7">
        <f t="shared" si="31"/>
        <v>9.9999978055764771E-5</v>
      </c>
    </row>
    <row r="239" spans="1:13" x14ac:dyDescent="0.25">
      <c r="A239">
        <f t="shared" si="24"/>
        <v>19.666666666666657</v>
      </c>
      <c r="B239" s="1">
        <v>49919</v>
      </c>
      <c r="C239" s="2">
        <v>534.73978989010561</v>
      </c>
      <c r="D239" s="2">
        <f t="shared" si="25"/>
        <v>4.8505138821477445E-3</v>
      </c>
      <c r="E239" s="5">
        <f t="shared" si="29"/>
        <v>3.6490229299798171E-2</v>
      </c>
      <c r="F239" s="5">
        <f t="shared" si="26"/>
        <v>3.62429574054981E-2</v>
      </c>
      <c r="G239" s="1">
        <v>49919</v>
      </c>
      <c r="H239" s="2">
        <v>535.75599413538839</v>
      </c>
      <c r="I239" s="5">
        <f t="shared" si="30"/>
        <v>3.6590229277657871E-2</v>
      </c>
      <c r="J239" s="5">
        <f t="shared" si="27"/>
        <v>3.6342998392498993E-2</v>
      </c>
      <c r="K239" s="7">
        <f t="shared" si="28"/>
        <v>1.0004098700089337E-4</v>
      </c>
      <c r="M239" s="7">
        <f t="shared" si="31"/>
        <v>9.9999977859699385E-5</v>
      </c>
    </row>
    <row r="240" spans="1:13" x14ac:dyDescent="0.25">
      <c r="A240">
        <f t="shared" si="24"/>
        <v>19.749999999999989</v>
      </c>
      <c r="B240" s="1">
        <v>49949</v>
      </c>
      <c r="C240" s="2">
        <v>535.56055324521276</v>
      </c>
      <c r="D240" s="2">
        <f t="shared" si="25"/>
        <v>1.5348836399022847E-3</v>
      </c>
      <c r="E240" s="5">
        <f t="shared" si="29"/>
        <v>3.6496231367775689E-2</v>
      </c>
      <c r="F240" s="5">
        <f t="shared" si="26"/>
        <v>3.6167768471821349E-2</v>
      </c>
      <c r="G240" s="1">
        <v>49949</v>
      </c>
      <c r="H240" s="2">
        <v>536.58263101886882</v>
      </c>
      <c r="I240" s="5">
        <f t="shared" si="30"/>
        <v>3.659623134543577E-2</v>
      </c>
      <c r="J240" s="5">
        <f t="shared" si="27"/>
        <v>3.626780191648149E-2</v>
      </c>
      <c r="K240" s="7">
        <f t="shared" si="28"/>
        <v>1.0003344466014141E-4</v>
      </c>
      <c r="M240" s="7">
        <f t="shared" si="31"/>
        <v>9.9999977660081285E-5</v>
      </c>
    </row>
    <row r="241" spans="1:13" x14ac:dyDescent="0.25">
      <c r="A241">
        <f t="shared" si="24"/>
        <v>19.833333333333321</v>
      </c>
      <c r="B241" s="1">
        <v>49980</v>
      </c>
      <c r="C241" s="2">
        <v>536.53771963635484</v>
      </c>
      <c r="D241" s="2">
        <f t="shared" si="25"/>
        <v>1.8245675213026669E-3</v>
      </c>
      <c r="E241" s="5">
        <f t="shared" si="29"/>
        <v>3.6502233470509848E-2</v>
      </c>
      <c r="F241" s="5">
        <f t="shared" si="26"/>
        <v>3.6108324582706075E-2</v>
      </c>
      <c r="G241" s="1">
        <v>49980</v>
      </c>
      <c r="H241" s="2">
        <v>537.56598393853722</v>
      </c>
      <c r="I241" s="5">
        <f t="shared" si="30"/>
        <v>3.6602233447966759E-2</v>
      </c>
      <c r="J241" s="5">
        <f t="shared" si="27"/>
        <v>3.6208352007498501E-2</v>
      </c>
      <c r="K241" s="7">
        <f t="shared" si="28"/>
        <v>1.0002742479242599E-4</v>
      </c>
      <c r="M241" s="7">
        <f t="shared" si="31"/>
        <v>9.9999977456910472E-5</v>
      </c>
    </row>
    <row r="242" spans="1:13" x14ac:dyDescent="0.25">
      <c r="A242">
        <f t="shared" si="24"/>
        <v>19.916666666666654</v>
      </c>
      <c r="B242" s="1">
        <v>50010</v>
      </c>
      <c r="C242" s="2">
        <v>538.71608250467295</v>
      </c>
      <c r="D242" s="2">
        <f t="shared" si="25"/>
        <v>4.0600367664636039E-3</v>
      </c>
      <c r="E242" s="5">
        <f t="shared" si="29"/>
        <v>3.650823560800065E-2</v>
      </c>
      <c r="F242" s="5">
        <f t="shared" si="26"/>
        <v>3.6165334243987601E-2</v>
      </c>
      <c r="G242" s="1">
        <v>50010</v>
      </c>
      <c r="H242" s="2">
        <v>539.75286085740299</v>
      </c>
      <c r="I242" s="5">
        <f t="shared" si="30"/>
        <v>3.6608235585251281E-2</v>
      </c>
      <c r="J242" s="5">
        <f t="shared" si="27"/>
        <v>3.626536689386195E-2</v>
      </c>
      <c r="K242" s="7">
        <f t="shared" si="28"/>
        <v>1.0003264987434868E-4</v>
      </c>
      <c r="M242" s="7">
        <f t="shared" si="31"/>
        <v>9.9999977250631034E-5</v>
      </c>
    </row>
    <row r="243" spans="1:13" x14ac:dyDescent="0.25">
      <c r="A243">
        <f t="shared" si="24"/>
        <v>19.999999999999986</v>
      </c>
      <c r="B243" s="1">
        <v>50041</v>
      </c>
      <c r="C243" s="2">
        <v>536.8268456071396</v>
      </c>
      <c r="D243" s="2">
        <f t="shared" si="25"/>
        <v>-3.5069249998063157E-3</v>
      </c>
      <c r="E243" s="5">
        <f t="shared" si="29"/>
        <v>3.6514237780248981E-2</v>
      </c>
      <c r="F243" s="5">
        <f t="shared" si="26"/>
        <v>3.5830000000000028E-2</v>
      </c>
      <c r="G243" s="1">
        <v>50041</v>
      </c>
      <c r="H243" s="2">
        <v>537.86431213292497</v>
      </c>
      <c r="I243" s="5">
        <f t="shared" si="30"/>
        <v>3.6614237757288448E-2</v>
      </c>
      <c r="J243" s="5">
        <f t="shared" si="27"/>
        <v>3.5930000000000017E-2</v>
      </c>
      <c r="K243" s="7">
        <f t="shared" si="28"/>
        <v>9.9999999999988987E-5</v>
      </c>
      <c r="M243" s="7">
        <f t="shared" si="31"/>
        <v>9.9999977039466614E-5</v>
      </c>
    </row>
    <row r="244" spans="1:13" x14ac:dyDescent="0.25">
      <c r="A244">
        <f t="shared" si="24"/>
        <v>20.083333333333318</v>
      </c>
      <c r="B244" s="1">
        <v>50072</v>
      </c>
      <c r="C244" s="2">
        <v>540.25723021180261</v>
      </c>
      <c r="D244" s="2">
        <f t="shared" si="25"/>
        <v>6.3901137447464063E-3</v>
      </c>
      <c r="E244" s="5">
        <f t="shared" si="29"/>
        <v>3.6439690173013517E-2</v>
      </c>
      <c r="F244" s="5">
        <f t="shared" si="26"/>
        <v>3.6007242514840332E-2</v>
      </c>
      <c r="G244" s="1">
        <v>50072</v>
      </c>
      <c r="H244" s="2">
        <v>541.30568176831184</v>
      </c>
      <c r="I244" s="5">
        <f t="shared" si="30"/>
        <v>3.6539690154650417E-2</v>
      </c>
      <c r="J244" s="5">
        <f t="shared" si="27"/>
        <v>3.6107259710136841E-2</v>
      </c>
      <c r="K244" s="7">
        <f t="shared" si="28"/>
        <v>1.0001719529650899E-4</v>
      </c>
      <c r="M244" s="7">
        <f t="shared" si="31"/>
        <v>9.9999981636900159E-5</v>
      </c>
    </row>
    <row r="245" spans="1:13" x14ac:dyDescent="0.25">
      <c r="A245">
        <f t="shared" si="24"/>
        <v>20.16666666666665</v>
      </c>
      <c r="B245" s="1">
        <v>50100</v>
      </c>
      <c r="C245" s="2">
        <v>542.65988840195678</v>
      </c>
      <c r="D245" s="2">
        <f t="shared" si="25"/>
        <v>4.4472485619715396E-3</v>
      </c>
      <c r="E245" s="5">
        <f t="shared" si="29"/>
        <v>3.6365147927349684E-2</v>
      </c>
      <c r="F245" s="5">
        <f t="shared" si="26"/>
        <v>3.6083766593750344E-2</v>
      </c>
      <c r="G245" s="1">
        <v>50100</v>
      </c>
      <c r="H245" s="2">
        <v>543.71737758996085</v>
      </c>
      <c r="I245" s="5">
        <f t="shared" si="30"/>
        <v>3.6465147913066431E-2</v>
      </c>
      <c r="J245" s="5">
        <f t="shared" si="27"/>
        <v>3.6183791260208542E-2</v>
      </c>
      <c r="K245" s="7">
        <f t="shared" si="28"/>
        <v>1.000246664581983E-4</v>
      </c>
      <c r="M245" s="7">
        <f t="shared" si="31"/>
        <v>9.999998571674773E-5</v>
      </c>
    </row>
    <row r="246" spans="1:13" x14ac:dyDescent="0.25">
      <c r="A246">
        <f t="shared" si="24"/>
        <v>20.249999999999982</v>
      </c>
      <c r="B246" s="1">
        <v>50131</v>
      </c>
      <c r="C246" s="2">
        <v>546.52647580808571</v>
      </c>
      <c r="D246" s="2">
        <f t="shared" si="25"/>
        <v>7.1252500668796959E-3</v>
      </c>
      <c r="E246" s="5">
        <f t="shared" si="29"/>
        <v>3.62906110428729E-2</v>
      </c>
      <c r="F246" s="5">
        <f t="shared" si="26"/>
        <v>3.6295916137807804E-2</v>
      </c>
      <c r="G246" s="1">
        <v>50131</v>
      </c>
      <c r="H246" s="2">
        <v>547.59590598557315</v>
      </c>
      <c r="I246" s="5">
        <f t="shared" si="30"/>
        <v>3.6390611032151021E-2</v>
      </c>
      <c r="J246" s="5">
        <f t="shared" si="27"/>
        <v>3.6395961368195229E-2</v>
      </c>
      <c r="K246" s="7">
        <f t="shared" si="28"/>
        <v>1.0004523038742441E-4</v>
      </c>
      <c r="M246" s="7">
        <f t="shared" si="31"/>
        <v>9.9999989278121149E-5</v>
      </c>
    </row>
    <row r="247" spans="1:13" x14ac:dyDescent="0.25">
      <c r="A247">
        <f t="shared" si="24"/>
        <v>20.333333333333314</v>
      </c>
      <c r="B247" s="1">
        <v>50161</v>
      </c>
      <c r="C247" s="2">
        <v>548.53422430370529</v>
      </c>
      <c r="D247" s="2">
        <f t="shared" si="25"/>
        <v>3.6736527588181467E-3</v>
      </c>
      <c r="E247" s="5">
        <f t="shared" si="29"/>
        <v>3.6216079519196587E-2</v>
      </c>
      <c r="F247" s="5">
        <f t="shared" si="26"/>
        <v>3.6331381509654648E-2</v>
      </c>
      <c r="G247" s="1">
        <v>50161</v>
      </c>
      <c r="H247" s="2">
        <v>549.61200553300864</v>
      </c>
      <c r="I247" s="5">
        <f t="shared" si="30"/>
        <v>3.6316079511518717E-2</v>
      </c>
      <c r="J247" s="5">
        <f t="shared" si="27"/>
        <v>3.6431430246014029E-2</v>
      </c>
      <c r="K247" s="7">
        <f t="shared" si="28"/>
        <v>1.0004873635938161E-4</v>
      </c>
      <c r="M247" s="7">
        <f t="shared" si="31"/>
        <v>9.9999992322130637E-5</v>
      </c>
    </row>
    <row r="248" spans="1:13" x14ac:dyDescent="0.25">
      <c r="A248">
        <f t="shared" si="24"/>
        <v>20.416666666666647</v>
      </c>
      <c r="B248" s="1">
        <v>50192</v>
      </c>
      <c r="C248" s="2">
        <v>549.51556246507653</v>
      </c>
      <c r="D248" s="2">
        <f t="shared" si="25"/>
        <v>1.7890190217701996E-3</v>
      </c>
      <c r="E248" s="5">
        <f t="shared" si="29"/>
        <v>3.6141553355935496E-2</v>
      </c>
      <c r="F248" s="5">
        <f t="shared" si="26"/>
        <v>3.6271157976300206E-2</v>
      </c>
      <c r="G248" s="1">
        <v>50192</v>
      </c>
      <c r="H248" s="2">
        <v>550.59970214948646</v>
      </c>
      <c r="I248" s="5">
        <f t="shared" si="30"/>
        <v>3.624155335078405E-2</v>
      </c>
      <c r="J248" s="5">
        <f t="shared" si="27"/>
        <v>3.6371200980032325E-2</v>
      </c>
      <c r="K248" s="7">
        <f t="shared" si="28"/>
        <v>1.0004300373211983E-4</v>
      </c>
      <c r="M248" s="7">
        <f t="shared" si="31"/>
        <v>9.9999994848554152E-5</v>
      </c>
    </row>
    <row r="249" spans="1:13" x14ac:dyDescent="0.25">
      <c r="A249">
        <f t="shared" si="24"/>
        <v>20.499999999999979</v>
      </c>
      <c r="B249" s="1">
        <v>50222</v>
      </c>
      <c r="C249" s="2">
        <v>549.05139272464714</v>
      </c>
      <c r="D249" s="2">
        <f t="shared" si="25"/>
        <v>-8.4468898086731414E-4</v>
      </c>
      <c r="E249" s="5">
        <f t="shared" si="29"/>
        <v>3.6067032552704159E-2</v>
      </c>
      <c r="F249" s="5">
        <f t="shared" si="26"/>
        <v>3.6078373044149181E-2</v>
      </c>
      <c r="G249" s="1">
        <v>50222</v>
      </c>
      <c r="H249" s="2">
        <v>550.13904322560336</v>
      </c>
      <c r="I249" s="5">
        <f t="shared" si="30"/>
        <v>3.6167032549561551E-2</v>
      </c>
      <c r="J249" s="5">
        <f t="shared" si="27"/>
        <v>3.6178397516917205E-2</v>
      </c>
      <c r="K249" s="7">
        <f t="shared" si="28"/>
        <v>1.0002447276802329E-4</v>
      </c>
      <c r="M249" s="7">
        <f t="shared" si="31"/>
        <v>9.9999996857391693E-5</v>
      </c>
    </row>
    <row r="250" spans="1:13" x14ac:dyDescent="0.25">
      <c r="A250">
        <f t="shared" si="24"/>
        <v>20.583333333333311</v>
      </c>
      <c r="B250" s="1">
        <v>50253</v>
      </c>
      <c r="C250" s="2">
        <v>551.31227309261681</v>
      </c>
      <c r="D250" s="2">
        <f t="shared" si="25"/>
        <v>4.1177937037006895E-3</v>
      </c>
      <c r="E250" s="5">
        <f t="shared" si="29"/>
        <v>3.5992517109117328E-2</v>
      </c>
      <c r="F250" s="5">
        <f t="shared" si="26"/>
        <v>3.6136551421504404E-2</v>
      </c>
      <c r="G250" s="1">
        <v>50253</v>
      </c>
      <c r="H250" s="2">
        <v>552.40884715484617</v>
      </c>
      <c r="I250" s="5">
        <f t="shared" si="30"/>
        <v>3.6092517107466193E-2</v>
      </c>
      <c r="J250" s="5">
        <f t="shared" si="27"/>
        <v>3.6236581590997297E-2</v>
      </c>
      <c r="K250" s="7">
        <f t="shared" si="28"/>
        <v>1.000301694928929E-4</v>
      </c>
      <c r="M250" s="7">
        <f t="shared" si="31"/>
        <v>9.9999998348865304E-5</v>
      </c>
    </row>
    <row r="251" spans="1:13" x14ac:dyDescent="0.25">
      <c r="A251">
        <f t="shared" si="24"/>
        <v>20.666666666666643</v>
      </c>
      <c r="B251" s="1">
        <v>50284</v>
      </c>
      <c r="C251" s="2">
        <v>553.94657741981257</v>
      </c>
      <c r="D251" s="2">
        <f t="shared" si="25"/>
        <v>4.7782435758567665E-3</v>
      </c>
      <c r="E251" s="5">
        <f t="shared" si="29"/>
        <v>3.5918007024788867E-2</v>
      </c>
      <c r="F251" s="5">
        <f t="shared" si="26"/>
        <v>3.6227231653477521E-2</v>
      </c>
      <c r="G251" s="1">
        <v>50284</v>
      </c>
      <c r="H251" s="2">
        <v>555.05285729536683</v>
      </c>
      <c r="I251" s="5">
        <f t="shared" si="30"/>
        <v>3.6018007024111842E-2</v>
      </c>
      <c r="J251" s="5">
        <f t="shared" si="27"/>
        <v>3.6327270656838273E-2</v>
      </c>
      <c r="K251" s="7">
        <f t="shared" si="28"/>
        <v>1.0003900336075233E-4</v>
      </c>
      <c r="M251" s="7">
        <f t="shared" si="31"/>
        <v>9.9999999322974986E-5</v>
      </c>
    </row>
    <row r="252" spans="1:13" x14ac:dyDescent="0.25">
      <c r="A252">
        <f t="shared" si="24"/>
        <v>20.749999999999975</v>
      </c>
      <c r="B252" s="1">
        <v>50314</v>
      </c>
      <c r="C252" s="2">
        <v>554.75691916689016</v>
      </c>
      <c r="D252" s="2">
        <f t="shared" si="25"/>
        <v>1.4628517985471046E-3</v>
      </c>
      <c r="E252" s="5">
        <f t="shared" si="29"/>
        <v>3.5843502299333974E-2</v>
      </c>
      <c r="F252" s="5">
        <f t="shared" si="26"/>
        <v>3.6152138858509764E-2</v>
      </c>
      <c r="G252" s="1">
        <v>50314</v>
      </c>
      <c r="H252" s="2">
        <v>555.86929005055993</v>
      </c>
      <c r="I252" s="5">
        <f t="shared" si="30"/>
        <v>3.5943502299113472E-2</v>
      </c>
      <c r="J252" s="5">
        <f t="shared" si="27"/>
        <v>3.6252170691112973E-2</v>
      </c>
      <c r="K252" s="7">
        <f t="shared" si="28"/>
        <v>1.0003183260320903E-4</v>
      </c>
      <c r="M252" s="7">
        <f t="shared" si="31"/>
        <v>9.9999999779498694E-5</v>
      </c>
    </row>
    <row r="253" spans="1:13" x14ac:dyDescent="0.25">
      <c r="A253">
        <f t="shared" si="24"/>
        <v>20.833333333333307</v>
      </c>
      <c r="B253" s="1">
        <v>50345</v>
      </c>
      <c r="C253" s="2">
        <v>555.72913890335315</v>
      </c>
      <c r="D253" s="2">
        <f t="shared" si="25"/>
        <v>1.7525148454624606E-3</v>
      </c>
      <c r="E253" s="5">
        <f t="shared" si="29"/>
        <v>3.5769002932366956E-2</v>
      </c>
      <c r="F253" s="5">
        <f t="shared" si="26"/>
        <v>3.6092034603928402E-2</v>
      </c>
      <c r="G253" s="1">
        <v>50345</v>
      </c>
      <c r="H253" s="2">
        <v>556.84793979261804</v>
      </c>
      <c r="I253" s="5">
        <f t="shared" si="30"/>
        <v>3.5869002932085614E-2</v>
      </c>
      <c r="J253" s="5">
        <f t="shared" si="27"/>
        <v>3.6192060712151752E-2</v>
      </c>
      <c r="K253" s="7">
        <f t="shared" si="28"/>
        <v>1.0002610822335001E-4</v>
      </c>
      <c r="M253" s="7">
        <f t="shared" si="31"/>
        <v>9.9999999718658472E-5</v>
      </c>
    </row>
    <row r="254" spans="1:13" x14ac:dyDescent="0.25">
      <c r="A254">
        <f t="shared" si="24"/>
        <v>20.916666666666639</v>
      </c>
      <c r="B254" s="1">
        <v>50375</v>
      </c>
      <c r="C254" s="2">
        <v>557.94528851887037</v>
      </c>
      <c r="D254" s="2">
        <f t="shared" si="25"/>
        <v>3.9878233124333029E-3</v>
      </c>
      <c r="E254" s="5">
        <f t="shared" si="29"/>
        <v>3.5694508923502566E-2</v>
      </c>
      <c r="F254" s="5">
        <f t="shared" si="26"/>
        <v>3.614281979588374E-2</v>
      </c>
      <c r="G254" s="1">
        <v>50375</v>
      </c>
      <c r="H254" s="2">
        <v>559.07304945138549</v>
      </c>
      <c r="I254" s="5">
        <f t="shared" si="30"/>
        <v>3.5794508922643242E-2</v>
      </c>
      <c r="J254" s="5">
        <f t="shared" si="27"/>
        <v>3.6242850884561584E-2</v>
      </c>
      <c r="K254" s="7">
        <f t="shared" si="28"/>
        <v>1.0003108867784327E-4</v>
      </c>
      <c r="M254" s="7">
        <f t="shared" si="31"/>
        <v>9.9999999140676366E-5</v>
      </c>
    </row>
    <row r="255" spans="1:13" x14ac:dyDescent="0.25">
      <c r="A255">
        <f t="shared" si="24"/>
        <v>20.999999999999972</v>
      </c>
      <c r="B255" s="1">
        <v>50406</v>
      </c>
      <c r="C255" s="2">
        <v>555.94862873041075</v>
      </c>
      <c r="D255" s="2">
        <f t="shared" si="25"/>
        <v>-3.5785942269715987E-3</v>
      </c>
      <c r="E255" s="5">
        <f t="shared" si="29"/>
        <v>3.5620020272355779E-2</v>
      </c>
      <c r="F255" s="5">
        <f t="shared" si="26"/>
        <v>3.5819999999999963E-2</v>
      </c>
      <c r="G255" s="1">
        <v>50406</v>
      </c>
      <c r="H255" s="2">
        <v>557.07683626503785</v>
      </c>
      <c r="I255" s="5">
        <f t="shared" si="30"/>
        <v>3.5720020270399999E-2</v>
      </c>
      <c r="J255" s="5">
        <f t="shared" si="27"/>
        <v>3.5919999999999952E-2</v>
      </c>
      <c r="K255" s="7">
        <f t="shared" si="28"/>
        <v>9.9999999999988987E-5</v>
      </c>
      <c r="M255" s="7">
        <f t="shared" si="31"/>
        <v>9.9999998044220106E-5</v>
      </c>
    </row>
    <row r="256" spans="1:13" x14ac:dyDescent="0.25">
      <c r="A256">
        <f t="shared" si="24"/>
        <v>21.083333333333304</v>
      </c>
      <c r="B256" s="1">
        <v>50437</v>
      </c>
      <c r="C256" s="2">
        <v>559.50030335882388</v>
      </c>
      <c r="D256" s="2">
        <f t="shared" si="25"/>
        <v>6.3884942688390289E-3</v>
      </c>
      <c r="E256" s="5">
        <f t="shared" si="29"/>
        <v>3.5618353759887977E-2</v>
      </c>
      <c r="F256" s="5">
        <f t="shared" si="26"/>
        <v>3.598879389986287E-2</v>
      </c>
      <c r="G256" s="1">
        <v>50437</v>
      </c>
      <c r="H256" s="2">
        <v>560.64022960088312</v>
      </c>
      <c r="I256" s="5">
        <f t="shared" si="30"/>
        <v>3.5718353757917543E-2</v>
      </c>
      <c r="J256" s="5">
        <f t="shared" si="27"/>
        <v>3.6088810279505612E-2</v>
      </c>
      <c r="K256" s="7">
        <f t="shared" si="28"/>
        <v>1.0001637964274224E-4</v>
      </c>
      <c r="M256" s="7">
        <f t="shared" si="31"/>
        <v>9.9999998029565162E-5</v>
      </c>
    </row>
    <row r="257" spans="1:13" x14ac:dyDescent="0.25">
      <c r="A257">
        <f t="shared" si="24"/>
        <v>21.166666666666636</v>
      </c>
      <c r="B257" s="1">
        <v>50465</v>
      </c>
      <c r="C257" s="2">
        <v>561.9876359303446</v>
      </c>
      <c r="D257" s="2">
        <f t="shared" si="25"/>
        <v>4.4456322125092651E-3</v>
      </c>
      <c r="E257" s="5">
        <f t="shared" si="29"/>
        <v>3.561668725010203E-2</v>
      </c>
      <c r="F257" s="5">
        <f t="shared" si="26"/>
        <v>3.6061695112726166E-2</v>
      </c>
      <c r="G257" s="1">
        <v>50465</v>
      </c>
      <c r="H257" s="2">
        <v>563.13716111670749</v>
      </c>
      <c r="I257" s="5">
        <f t="shared" si="30"/>
        <v>3.5716687248116497E-2</v>
      </c>
      <c r="J257" s="5">
        <f t="shared" si="27"/>
        <v>3.6161718613703098E-2</v>
      </c>
      <c r="K257" s="7">
        <f t="shared" si="28"/>
        <v>1.0002350097693125E-4</v>
      </c>
      <c r="M257" s="7">
        <f t="shared" si="31"/>
        <v>9.9999998014466129E-5</v>
      </c>
    </row>
    <row r="258" spans="1:13" x14ac:dyDescent="0.25">
      <c r="A258">
        <f t="shared" si="24"/>
        <v>21.249999999999968</v>
      </c>
      <c r="B258" s="1">
        <v>50496</v>
      </c>
      <c r="C258" s="2">
        <v>565.99102758058825</v>
      </c>
      <c r="D258" s="2">
        <f t="shared" si="25"/>
        <v>7.1236294079961571E-3</v>
      </c>
      <c r="E258" s="5">
        <f t="shared" si="29"/>
        <v>3.5615020742997938E-2</v>
      </c>
      <c r="F258" s="5">
        <f t="shared" si="26"/>
        <v>3.6263863966059295E-2</v>
      </c>
      <c r="G258" s="1">
        <v>50496</v>
      </c>
      <c r="H258" s="2">
        <v>567.15330512553271</v>
      </c>
      <c r="I258" s="5">
        <f t="shared" si="30"/>
        <v>3.5715020740996639E-2</v>
      </c>
      <c r="J258" s="5">
        <f t="shared" si="27"/>
        <v>3.6363907067499257E-2</v>
      </c>
      <c r="K258" s="7">
        <f t="shared" si="28"/>
        <v>1.0004310143996165E-4</v>
      </c>
      <c r="M258" s="7">
        <f t="shared" si="31"/>
        <v>9.9999997998700962E-5</v>
      </c>
    </row>
    <row r="259" spans="1:13" x14ac:dyDescent="0.25">
      <c r="A259">
        <f t="shared" si="24"/>
        <v>21.3333333333333</v>
      </c>
      <c r="B259" s="1">
        <v>50526</v>
      </c>
      <c r="C259" s="2">
        <v>568.06936794581532</v>
      </c>
      <c r="D259" s="2">
        <f t="shared" si="25"/>
        <v>3.67203765422075E-3</v>
      </c>
      <c r="E259" s="5">
        <f t="shared" si="29"/>
        <v>3.5613354238575479E-2</v>
      </c>
      <c r="F259" s="5">
        <f t="shared" si="26"/>
        <v>3.6297712862972897E-2</v>
      </c>
      <c r="G259" s="1">
        <v>50526</v>
      </c>
      <c r="H259" s="2">
        <v>569.24049377927429</v>
      </c>
      <c r="I259" s="5">
        <f t="shared" si="30"/>
        <v>3.5713354236558414E-2</v>
      </c>
      <c r="J259" s="5">
        <f t="shared" si="27"/>
        <v>3.6397759314285238E-2</v>
      </c>
      <c r="K259" s="7">
        <f t="shared" si="28"/>
        <v>1.0004645131234113E-4</v>
      </c>
      <c r="M259" s="7">
        <f t="shared" si="31"/>
        <v>9.9999997982935795E-5</v>
      </c>
    </row>
    <row r="260" spans="1:13" x14ac:dyDescent="0.25">
      <c r="A260">
        <f t="shared" si="24"/>
        <v>21.416666666666632</v>
      </c>
      <c r="B260" s="1">
        <v>50557</v>
      </c>
      <c r="C260" s="2">
        <v>569.08473908211386</v>
      </c>
      <c r="D260" s="2">
        <f t="shared" si="25"/>
        <v>1.7874069499121958E-3</v>
      </c>
      <c r="E260" s="5">
        <f t="shared" si="29"/>
        <v>3.5611687736834652E-2</v>
      </c>
      <c r="F260" s="5">
        <f t="shared" si="26"/>
        <v>3.6240356247249972E-2</v>
      </c>
      <c r="G260" s="1">
        <v>50557</v>
      </c>
      <c r="H260" s="2">
        <v>570.26254677952375</v>
      </c>
      <c r="I260" s="5">
        <f t="shared" si="30"/>
        <v>3.57116877348016E-2</v>
      </c>
      <c r="J260" s="5">
        <f t="shared" si="27"/>
        <v>3.6340397242614175E-2</v>
      </c>
      <c r="K260" s="7">
        <f t="shared" si="28"/>
        <v>1.0004099536420341E-4</v>
      </c>
      <c r="M260" s="7">
        <f t="shared" si="31"/>
        <v>9.9999997966948584E-5</v>
      </c>
    </row>
    <row r="261" spans="1:13" x14ac:dyDescent="0.25">
      <c r="A261">
        <f t="shared" ref="A261:A324" si="32">A260+1/12</f>
        <v>21.499999999999964</v>
      </c>
      <c r="B261" s="1">
        <v>50587</v>
      </c>
      <c r="C261" s="2">
        <v>568.60312448020204</v>
      </c>
      <c r="D261" s="2">
        <f t="shared" ref="D261:D324" si="33">C261/C260-1</f>
        <v>-8.4629681458092687E-4</v>
      </c>
      <c r="E261" s="5">
        <f t="shared" si="29"/>
        <v>3.5610021237775458E-2</v>
      </c>
      <c r="F261" s="5">
        <f t="shared" ref="F261:F324" si="34">(C261/$C$3)^(1/A261)-1</f>
        <v>3.6056584543217696E-2</v>
      </c>
      <c r="G261" s="1">
        <v>50587</v>
      </c>
      <c r="H261" s="2">
        <v>569.78452014179186</v>
      </c>
      <c r="I261" s="5">
        <f t="shared" si="30"/>
        <v>3.5710021235726419E-2</v>
      </c>
      <c r="J261" s="5">
        <f t="shared" ref="J261:J324" si="35">(H261/$H$3)^(1/A261)-1</f>
        <v>3.615660787758479E-2</v>
      </c>
      <c r="K261" s="7">
        <f t="shared" ref="K261:K324" si="36">J261-F261</f>
        <v>1.0002333436709421E-4</v>
      </c>
      <c r="M261" s="7">
        <f t="shared" si="31"/>
        <v>9.9999997950961372E-5</v>
      </c>
    </row>
    <row r="262" spans="1:13" x14ac:dyDescent="0.25">
      <c r="A262">
        <f t="shared" si="32"/>
        <v>21.583333333333297</v>
      </c>
      <c r="B262" s="1">
        <v>50618</v>
      </c>
      <c r="C262" s="2">
        <v>570.94359608618527</v>
      </c>
      <c r="D262" s="2">
        <f t="shared" si="33"/>
        <v>4.1161778843947783E-3</v>
      </c>
      <c r="E262" s="5">
        <f t="shared" si="29"/>
        <v>3.5608354741398118E-2</v>
      </c>
      <c r="F262" s="5">
        <f t="shared" si="34"/>
        <v>3.6112073037760872E-2</v>
      </c>
      <c r="G262" s="1">
        <v>50618</v>
      </c>
      <c r="H262" s="2">
        <v>572.13445823019708</v>
      </c>
      <c r="I262" s="5">
        <f t="shared" si="30"/>
        <v>3.5708354739332426E-2</v>
      </c>
      <c r="J262" s="5">
        <f t="shared" si="35"/>
        <v>3.6212101809238284E-2</v>
      </c>
      <c r="K262" s="7">
        <f t="shared" si="36"/>
        <v>1.0002877147741174E-4</v>
      </c>
      <c r="M262" s="7">
        <f t="shared" si="31"/>
        <v>9.9999997934308027E-5</v>
      </c>
    </row>
    <row r="263" spans="1:13" x14ac:dyDescent="0.25">
      <c r="A263">
        <f t="shared" si="32"/>
        <v>21.666666666666629</v>
      </c>
      <c r="B263" s="1">
        <v>50649</v>
      </c>
      <c r="C263" s="2">
        <v>573.67078050788166</v>
      </c>
      <c r="D263" s="2">
        <f t="shared" si="33"/>
        <v>4.7766266937596669E-3</v>
      </c>
      <c r="E263" s="5">
        <f t="shared" si="29"/>
        <v>3.5606688247702634E-2</v>
      </c>
      <c r="F263" s="5">
        <f t="shared" si="34"/>
        <v>3.6198583005549789E-2</v>
      </c>
      <c r="G263" s="1">
        <v>50649</v>
      </c>
      <c r="H263" s="2">
        <v>574.87195663065302</v>
      </c>
      <c r="I263" s="5">
        <f t="shared" si="30"/>
        <v>3.5706688245619844E-2</v>
      </c>
      <c r="J263" s="5">
        <f t="shared" si="35"/>
        <v>3.6298620208420562E-2</v>
      </c>
      <c r="K263" s="7">
        <f t="shared" si="36"/>
        <v>1.00037202870773E-4</v>
      </c>
      <c r="M263" s="7">
        <f t="shared" si="31"/>
        <v>9.9999997917210592E-5</v>
      </c>
    </row>
    <row r="264" spans="1:13" x14ac:dyDescent="0.25">
      <c r="A264">
        <f t="shared" si="32"/>
        <v>21.749999999999961</v>
      </c>
      <c r="B264" s="1">
        <v>50679</v>
      </c>
      <c r="C264" s="2">
        <v>574.5090513435008</v>
      </c>
      <c r="D264" s="2">
        <f t="shared" si="33"/>
        <v>1.4612402515550293E-3</v>
      </c>
      <c r="E264" s="5">
        <f t="shared" si="29"/>
        <v>3.560502175668856E-2</v>
      </c>
      <c r="F264" s="5">
        <f t="shared" si="34"/>
        <v>3.6126977711175234E-2</v>
      </c>
      <c r="G264" s="1">
        <v>50679</v>
      </c>
      <c r="H264" s="2">
        <v>575.71661514452296</v>
      </c>
      <c r="I264" s="5">
        <f t="shared" si="30"/>
        <v>3.5705021754588673E-2</v>
      </c>
      <c r="J264" s="5">
        <f t="shared" si="35"/>
        <v>3.6227008079988465E-2</v>
      </c>
      <c r="K264" s="7">
        <f t="shared" si="36"/>
        <v>1.0003036881323091E-4</v>
      </c>
      <c r="M264" s="7">
        <f t="shared" si="31"/>
        <v>9.9999997900113158E-5</v>
      </c>
    </row>
    <row r="265" spans="1:13" x14ac:dyDescent="0.25">
      <c r="A265">
        <f t="shared" si="32"/>
        <v>21.833333333333293</v>
      </c>
      <c r="B265" s="1">
        <v>50710</v>
      </c>
      <c r="C265" s="2">
        <v>575.51496086870691</v>
      </c>
      <c r="D265" s="2">
        <f t="shared" si="33"/>
        <v>1.7509028323465792E-3</v>
      </c>
      <c r="E265" s="5">
        <f t="shared" si="29"/>
        <v>3.5603355268356118E-2</v>
      </c>
      <c r="F265" s="5">
        <f t="shared" si="34"/>
        <v>3.6069647306126384E-2</v>
      </c>
      <c r="G265" s="1">
        <v>50710</v>
      </c>
      <c r="H265" s="2">
        <v>576.72927961630728</v>
      </c>
      <c r="I265" s="5">
        <f t="shared" si="30"/>
        <v>3.5703355266239356E-2</v>
      </c>
      <c r="J265" s="5">
        <f t="shared" si="35"/>
        <v>3.6169672218404392E-2</v>
      </c>
      <c r="K265" s="7">
        <f t="shared" si="36"/>
        <v>1.0002491227800725E-4</v>
      </c>
      <c r="M265" s="7">
        <f t="shared" si="31"/>
        <v>9.9999997883237768E-5</v>
      </c>
    </row>
    <row r="266" spans="1:13" x14ac:dyDescent="0.25">
      <c r="A266">
        <f t="shared" si="32"/>
        <v>21.916666666666625</v>
      </c>
      <c r="B266" s="1">
        <v>50740</v>
      </c>
      <c r="C266" s="2">
        <v>577.80908303849606</v>
      </c>
      <c r="D266" s="2">
        <f t="shared" si="33"/>
        <v>3.9862077022747577E-3</v>
      </c>
      <c r="E266" s="5">
        <f t="shared" si="29"/>
        <v>3.5601688782705532E-2</v>
      </c>
      <c r="F266" s="5">
        <f t="shared" si="34"/>
        <v>3.6118123252188328E-2</v>
      </c>
      <c r="G266" s="1">
        <v>50740</v>
      </c>
      <c r="H266" s="2">
        <v>579.03290146850361</v>
      </c>
      <c r="I266" s="5">
        <f t="shared" si="30"/>
        <v>3.5701688780571006E-2</v>
      </c>
      <c r="J266" s="5">
        <f t="shared" si="35"/>
        <v>3.6218152922161018E-2</v>
      </c>
      <c r="K266" s="7">
        <f t="shared" si="36"/>
        <v>1.0002966997268992E-4</v>
      </c>
      <c r="M266" s="7">
        <f t="shared" si="31"/>
        <v>9.9999997865474199E-5</v>
      </c>
    </row>
    <row r="267" spans="1:13" x14ac:dyDescent="0.25">
      <c r="A267">
        <f t="shared" si="32"/>
        <v>21.999999999999957</v>
      </c>
      <c r="B267" s="1">
        <v>50771</v>
      </c>
      <c r="C267" s="2">
        <v>575.7404123107209</v>
      </c>
      <c r="D267" s="2">
        <f t="shared" si="33"/>
        <v>-3.5801976613049069E-3</v>
      </c>
      <c r="E267" s="5">
        <f t="shared" si="29"/>
        <v>3.560002229973569E-2</v>
      </c>
      <c r="F267" s="5">
        <f t="shared" si="34"/>
        <v>3.5809999999999897E-2</v>
      </c>
      <c r="G267" s="1">
        <v>50771</v>
      </c>
      <c r="H267" s="2">
        <v>576.96449174116731</v>
      </c>
      <c r="I267" s="5">
        <f t="shared" si="30"/>
        <v>3.5700022297584066E-2</v>
      </c>
      <c r="J267" s="5">
        <f t="shared" si="35"/>
        <v>3.5910000000000108E-2</v>
      </c>
      <c r="K267" s="7">
        <f t="shared" si="36"/>
        <v>1.0000000000021103E-4</v>
      </c>
      <c r="M267" s="7">
        <f t="shared" si="31"/>
        <v>9.9999997848376765E-5</v>
      </c>
    </row>
    <row r="268" spans="1:13" x14ac:dyDescent="0.25">
      <c r="A268">
        <f t="shared" si="32"/>
        <v>22.08333333333329</v>
      </c>
      <c r="B268" s="1">
        <v>50802</v>
      </c>
      <c r="C268" s="2">
        <v>579.41759422537791</v>
      </c>
      <c r="D268" s="2">
        <f t="shared" si="33"/>
        <v>6.3868747720847718E-3</v>
      </c>
      <c r="E268" s="5">
        <f t="shared" si="29"/>
        <v>3.5598355795314784E-2</v>
      </c>
      <c r="F268" s="5">
        <f t="shared" si="34"/>
        <v>3.597111050227797E-2</v>
      </c>
      <c r="G268" s="1">
        <v>50802</v>
      </c>
      <c r="H268" s="2">
        <v>580.65416398912726</v>
      </c>
      <c r="I268" s="5">
        <f t="shared" si="30"/>
        <v>3.5698355793147396E-2</v>
      </c>
      <c r="J268" s="5">
        <f t="shared" si="35"/>
        <v>3.6071126140143184E-2</v>
      </c>
      <c r="K268" s="7">
        <f t="shared" si="36"/>
        <v>1.0001563786521395E-4</v>
      </c>
      <c r="M268" s="7">
        <f t="shared" si="31"/>
        <v>9.9999997832611598E-5</v>
      </c>
    </row>
    <row r="269" spans="1:13" x14ac:dyDescent="0.25">
      <c r="A269">
        <f t="shared" si="32"/>
        <v>22.166666666666622</v>
      </c>
      <c r="B269" s="1">
        <v>50830</v>
      </c>
      <c r="C269" s="2">
        <v>581.99253519338822</v>
      </c>
      <c r="D269" s="2">
        <f t="shared" si="33"/>
        <v>4.4440158422403009E-3</v>
      </c>
      <c r="E269" s="5">
        <f t="shared" si="29"/>
        <v>3.5596689293575734E-2</v>
      </c>
      <c r="F269" s="5">
        <f t="shared" si="34"/>
        <v>3.6040712910044403E-2</v>
      </c>
      <c r="G269" s="1">
        <v>50830</v>
      </c>
      <c r="H269" s="2">
        <v>583.23929338552716</v>
      </c>
      <c r="I269" s="5">
        <f t="shared" si="30"/>
        <v>3.5696689291391914E-2</v>
      </c>
      <c r="J269" s="5">
        <f t="shared" si="35"/>
        <v>3.614073535070772E-2</v>
      </c>
      <c r="K269" s="7">
        <f t="shared" si="36"/>
        <v>1.0002244066331656E-4</v>
      </c>
      <c r="M269" s="7">
        <f t="shared" si="31"/>
        <v>9.9999997816180297E-5</v>
      </c>
    </row>
    <row r="270" spans="1:13" x14ac:dyDescent="0.25">
      <c r="A270">
        <f t="shared" si="32"/>
        <v>22.249999999999954</v>
      </c>
      <c r="B270" s="1">
        <v>50861</v>
      </c>
      <c r="C270" s="2">
        <v>586.13749110881213</v>
      </c>
      <c r="D270" s="2">
        <f t="shared" si="33"/>
        <v>7.1220087282504174E-3</v>
      </c>
      <c r="E270" s="5">
        <f t="shared" si="29"/>
        <v>3.5595022794518316E-2</v>
      </c>
      <c r="F270" s="5">
        <f t="shared" si="34"/>
        <v>3.6233794419806342E-2</v>
      </c>
      <c r="G270" s="1">
        <v>50861</v>
      </c>
      <c r="H270" s="2">
        <v>587.39785527872721</v>
      </c>
      <c r="I270" s="5">
        <f t="shared" si="30"/>
        <v>3.5695022792318287E-2</v>
      </c>
      <c r="J270" s="5">
        <f t="shared" si="35"/>
        <v>3.6333835583704399E-2</v>
      </c>
      <c r="K270" s="7">
        <f t="shared" si="36"/>
        <v>1.0004116389805695E-4</v>
      </c>
      <c r="M270" s="7">
        <f t="shared" si="31"/>
        <v>9.9999997799971041E-5</v>
      </c>
    </row>
    <row r="271" spans="1:13" x14ac:dyDescent="0.25">
      <c r="A271">
        <f t="shared" si="32"/>
        <v>22.333333333333286</v>
      </c>
      <c r="B271" s="1">
        <v>50891</v>
      </c>
      <c r="C271" s="2">
        <v>588.28886336117137</v>
      </c>
      <c r="D271" s="2">
        <f t="shared" si="33"/>
        <v>3.6704225288326509E-3</v>
      </c>
      <c r="E271" s="5">
        <f t="shared" si="29"/>
        <v>3.5593356298142531E-2</v>
      </c>
      <c r="F271" s="5">
        <f t="shared" si="34"/>
        <v>3.6266164266619105E-2</v>
      </c>
      <c r="G271" s="1">
        <v>50891</v>
      </c>
      <c r="H271" s="2">
        <v>589.55859754180676</v>
      </c>
      <c r="I271" s="5">
        <f t="shared" si="30"/>
        <v>3.5693356295926071E-2</v>
      </c>
      <c r="J271" s="5">
        <f t="shared" si="35"/>
        <v>3.636620863756046E-2</v>
      </c>
      <c r="K271" s="7">
        <f t="shared" si="36"/>
        <v>1.0004437094135454E-4</v>
      </c>
      <c r="M271" s="7">
        <f t="shared" si="31"/>
        <v>9.999999778353974E-5</v>
      </c>
    </row>
    <row r="272" spans="1:13" x14ac:dyDescent="0.25">
      <c r="A272">
        <f t="shared" si="32"/>
        <v>22.416666666666618</v>
      </c>
      <c r="B272" s="1">
        <v>50922</v>
      </c>
      <c r="C272" s="2">
        <v>589.33942658797014</v>
      </c>
      <c r="D272" s="2">
        <f t="shared" si="33"/>
        <v>1.7857948573025695E-3</v>
      </c>
      <c r="E272" s="5">
        <f t="shared" ref="E272:E335" si="37">C272/C260-1</f>
        <v>3.5591689804448823E-2</v>
      </c>
      <c r="F272" s="5">
        <f t="shared" si="34"/>
        <v>3.6211410797820642E-2</v>
      </c>
      <c r="G272" s="1">
        <v>50922</v>
      </c>
      <c r="H272" s="2">
        <v>590.61618070499969</v>
      </c>
      <c r="I272" s="5">
        <f t="shared" ref="I272:I335" si="38">H272/H260-1</f>
        <v>3.5691689802215043E-2</v>
      </c>
      <c r="J272" s="5">
        <f t="shared" si="35"/>
        <v>3.6311449964037346E-2</v>
      </c>
      <c r="K272" s="7">
        <f t="shared" si="36"/>
        <v>1.0003916621670328E-4</v>
      </c>
      <c r="M272" s="7">
        <f t="shared" ref="M272:M335" si="39">I272-E272</f>
        <v>9.9999997766220261E-5</v>
      </c>
    </row>
    <row r="273" spans="1:13" x14ac:dyDescent="0.25">
      <c r="A273">
        <f t="shared" si="32"/>
        <v>22.49999999999995</v>
      </c>
      <c r="B273" s="1">
        <v>50952</v>
      </c>
      <c r="C273" s="2">
        <v>588.8397229365454</v>
      </c>
      <c r="D273" s="2">
        <f t="shared" si="33"/>
        <v>-8.4790466899153927E-4</v>
      </c>
      <c r="E273" s="5">
        <f t="shared" si="37"/>
        <v>3.5590023313436747E-2</v>
      </c>
      <c r="F273" s="5">
        <f t="shared" si="34"/>
        <v>3.6035844025788188E-2</v>
      </c>
      <c r="G273" s="1">
        <v>50952</v>
      </c>
      <c r="H273" s="2">
        <v>590.1201429480052</v>
      </c>
      <c r="I273" s="5">
        <f t="shared" si="38"/>
        <v>3.5690023311185648E-2</v>
      </c>
      <c r="J273" s="5">
        <f t="shared" si="35"/>
        <v>3.6135866322956733E-2</v>
      </c>
      <c r="K273" s="7">
        <f t="shared" si="36"/>
        <v>1.0002229716854494E-4</v>
      </c>
      <c r="M273" s="7">
        <f t="shared" si="39"/>
        <v>9.9999997748900782E-5</v>
      </c>
    </row>
    <row r="274" spans="1:13" x14ac:dyDescent="0.25">
      <c r="A274">
        <f t="shared" si="32"/>
        <v>22.583333333333282</v>
      </c>
      <c r="B274" s="1">
        <v>50983</v>
      </c>
      <c r="C274" s="2">
        <v>591.26254051070998</v>
      </c>
      <c r="D274" s="2">
        <f t="shared" si="33"/>
        <v>4.1145620442892827E-3</v>
      </c>
      <c r="E274" s="5">
        <f t="shared" si="37"/>
        <v>3.5588356825106526E-2</v>
      </c>
      <c r="F274" s="5">
        <f t="shared" si="34"/>
        <v>3.6088877048699342E-2</v>
      </c>
      <c r="G274" s="1">
        <v>50983</v>
      </c>
      <c r="H274" s="2">
        <v>592.55299692615745</v>
      </c>
      <c r="I274" s="5">
        <f t="shared" si="38"/>
        <v>3.5688356822837886E-2</v>
      </c>
      <c r="J274" s="5">
        <f t="shared" si="35"/>
        <v>3.6188904545987999E-2</v>
      </c>
      <c r="K274" s="7">
        <f t="shared" si="36"/>
        <v>1.0002749728865723E-4</v>
      </c>
      <c r="M274" s="7">
        <f t="shared" si="39"/>
        <v>9.9999997731359258E-5</v>
      </c>
    </row>
    <row r="275" spans="1:13" x14ac:dyDescent="0.25">
      <c r="A275">
        <f t="shared" si="32"/>
        <v>22.666666666666615</v>
      </c>
      <c r="B275" s="1">
        <v>51014</v>
      </c>
      <c r="C275" s="2">
        <v>594.0858249306109</v>
      </c>
      <c r="D275" s="2">
        <f t="shared" si="33"/>
        <v>4.7750097908489941E-3</v>
      </c>
      <c r="E275" s="5">
        <f t="shared" si="37"/>
        <v>3.558669033945816E-2</v>
      </c>
      <c r="F275" s="5">
        <f t="shared" si="34"/>
        <v>3.6171580118999236E-2</v>
      </c>
      <c r="G275" s="1">
        <v>51014</v>
      </c>
      <c r="H275" s="2">
        <v>595.38723413045511</v>
      </c>
      <c r="I275" s="5">
        <f t="shared" si="38"/>
        <v>3.5686690337171756E-2</v>
      </c>
      <c r="J275" s="5">
        <f t="shared" si="35"/>
        <v>3.6271615680275149E-2</v>
      </c>
      <c r="K275" s="7">
        <f t="shared" si="36"/>
        <v>1.0003556127591295E-4</v>
      </c>
      <c r="M275" s="7">
        <f t="shared" si="39"/>
        <v>9.999999771359569E-5</v>
      </c>
    </row>
    <row r="276" spans="1:13" x14ac:dyDescent="0.25">
      <c r="A276">
        <f t="shared" si="32"/>
        <v>22.749999999999947</v>
      </c>
      <c r="B276" s="1">
        <v>51044</v>
      </c>
      <c r="C276" s="2">
        <v>594.95296964132945</v>
      </c>
      <c r="D276" s="2">
        <f t="shared" si="33"/>
        <v>1.4596286838182149E-3</v>
      </c>
      <c r="E276" s="5">
        <f t="shared" si="37"/>
        <v>3.5585023856491205E-2</v>
      </c>
      <c r="F276" s="5">
        <f t="shared" si="34"/>
        <v>3.6103149605363427E-2</v>
      </c>
      <c r="G276" s="1">
        <v>51044</v>
      </c>
      <c r="H276" s="2">
        <v>596.26107628920704</v>
      </c>
      <c r="I276" s="5">
        <f t="shared" si="38"/>
        <v>3.5685023854187037E-2</v>
      </c>
      <c r="J276" s="5">
        <f t="shared" si="35"/>
        <v>3.620317863908995E-2</v>
      </c>
      <c r="K276" s="7">
        <f t="shared" si="36"/>
        <v>1.0002903372652305E-4</v>
      </c>
      <c r="M276" s="7">
        <f t="shared" si="39"/>
        <v>9.9999997695832121E-5</v>
      </c>
    </row>
    <row r="277" spans="1:13" x14ac:dyDescent="0.25">
      <c r="A277">
        <f t="shared" si="32"/>
        <v>22.833333333333279</v>
      </c>
      <c r="B277" s="1">
        <v>51075</v>
      </c>
      <c r="C277" s="2">
        <v>595.99371539665151</v>
      </c>
      <c r="D277" s="2">
        <f t="shared" si="33"/>
        <v>1.7492907984801853E-3</v>
      </c>
      <c r="E277" s="5">
        <f t="shared" si="37"/>
        <v>3.5583357376206326E-2</v>
      </c>
      <c r="F277" s="5">
        <f t="shared" si="34"/>
        <v>3.6048345156293626E-2</v>
      </c>
      <c r="G277" s="1">
        <v>51075</v>
      </c>
      <c r="H277" s="2">
        <v>597.30891660883844</v>
      </c>
      <c r="I277" s="5">
        <f t="shared" si="38"/>
        <v>3.5683357373883728E-2</v>
      </c>
      <c r="J277" s="5">
        <f t="shared" si="35"/>
        <v>3.6148368977392931E-2</v>
      </c>
      <c r="K277" s="7">
        <f t="shared" si="36"/>
        <v>1.000238210993043E-4</v>
      </c>
      <c r="M277" s="7">
        <f t="shared" si="39"/>
        <v>9.9999997677402419E-5</v>
      </c>
    </row>
    <row r="278" spans="1:13" x14ac:dyDescent="0.25">
      <c r="A278">
        <f t="shared" si="32"/>
        <v>22.916666666666611</v>
      </c>
      <c r="B278" s="1">
        <v>51105</v>
      </c>
      <c r="C278" s="2">
        <v>598.36850722957718</v>
      </c>
      <c r="D278" s="2">
        <f t="shared" si="33"/>
        <v>3.9845920713192928E-3</v>
      </c>
      <c r="E278" s="5">
        <f t="shared" si="37"/>
        <v>3.5581690898603302E-2</v>
      </c>
      <c r="F278" s="5">
        <f t="shared" si="34"/>
        <v>3.6094709497865862E-2</v>
      </c>
      <c r="G278" s="1">
        <v>51105</v>
      </c>
      <c r="H278" s="2">
        <v>599.69377447746842</v>
      </c>
      <c r="I278" s="5">
        <f t="shared" si="38"/>
        <v>3.5681690896261831E-2</v>
      </c>
      <c r="J278" s="5">
        <f t="shared" si="35"/>
        <v>3.6194737872965232E-2</v>
      </c>
      <c r="K278" s="7">
        <f t="shared" si="36"/>
        <v>1.0002837509937024E-4</v>
      </c>
      <c r="M278" s="7">
        <f t="shared" si="39"/>
        <v>9.9999997658528628E-5</v>
      </c>
    </row>
    <row r="279" spans="1:13" x14ac:dyDescent="0.25">
      <c r="A279">
        <f t="shared" si="32"/>
        <v>22.999999999999943</v>
      </c>
      <c r="B279" s="1">
        <v>51136</v>
      </c>
      <c r="C279" s="2">
        <v>596.22527024243686</v>
      </c>
      <c r="D279" s="2">
        <f t="shared" si="33"/>
        <v>-3.5818011162777053E-3</v>
      </c>
      <c r="E279" s="5">
        <f t="shared" si="37"/>
        <v>3.5580024423681689E-2</v>
      </c>
      <c r="F279" s="5">
        <f t="shared" si="34"/>
        <v>3.5800000000000054E-2</v>
      </c>
      <c r="G279" s="1">
        <v>51136</v>
      </c>
      <c r="H279" s="2">
        <v>597.55059889672805</v>
      </c>
      <c r="I279" s="5">
        <f t="shared" si="38"/>
        <v>3.5680024421322454E-2</v>
      </c>
      <c r="J279" s="5">
        <f t="shared" si="35"/>
        <v>3.5900000000000043E-2</v>
      </c>
      <c r="K279" s="7">
        <f t="shared" si="36"/>
        <v>9.9999999999988987E-5</v>
      </c>
      <c r="M279" s="7">
        <f t="shared" si="39"/>
        <v>9.9999997640765059E-5</v>
      </c>
    </row>
    <row r="280" spans="1:13" x14ac:dyDescent="0.25">
      <c r="A280">
        <f t="shared" si="32"/>
        <v>23.083333333333275</v>
      </c>
      <c r="B280" s="1">
        <v>51167</v>
      </c>
      <c r="C280" s="2">
        <v>600.03232078210749</v>
      </c>
      <c r="D280" s="2">
        <f t="shared" si="33"/>
        <v>6.3852552544823027E-3</v>
      </c>
      <c r="E280" s="5">
        <f t="shared" si="37"/>
        <v>3.5578357927307014E-2</v>
      </c>
      <c r="F280" s="5">
        <f t="shared" si="34"/>
        <v>3.5954092864012965E-2</v>
      </c>
      <c r="G280" s="1">
        <v>51167</v>
      </c>
      <c r="H280" s="2">
        <v>601.37095108253334</v>
      </c>
      <c r="I280" s="5">
        <f t="shared" si="38"/>
        <v>3.5678357924931792E-2</v>
      </c>
      <c r="J280" s="5">
        <f t="shared" si="35"/>
        <v>3.6054107824374793E-2</v>
      </c>
      <c r="K280" s="7">
        <f t="shared" si="36"/>
        <v>1.0001496036182722E-4</v>
      </c>
      <c r="M280" s="7">
        <f t="shared" si="39"/>
        <v>9.9999997624777848E-5</v>
      </c>
    </row>
    <row r="281" spans="1:13" x14ac:dyDescent="0.25">
      <c r="A281">
        <f t="shared" si="32"/>
        <v>23.166666666666607</v>
      </c>
      <c r="B281" s="1">
        <v>51196</v>
      </c>
      <c r="C281" s="2">
        <v>602.69790403463026</v>
      </c>
      <c r="D281" s="2">
        <f t="shared" si="33"/>
        <v>4.4423994511635367E-3</v>
      </c>
      <c r="E281" s="5">
        <f t="shared" si="37"/>
        <v>3.5576691433614194E-2</v>
      </c>
      <c r="F281" s="5">
        <f t="shared" si="34"/>
        <v>3.6020678912940474E-2</v>
      </c>
      <c r="G281" s="1">
        <v>51196</v>
      </c>
      <c r="H281" s="2">
        <v>604.04734168620678</v>
      </c>
      <c r="I281" s="5">
        <f t="shared" si="38"/>
        <v>3.5676691431222318E-2</v>
      </c>
      <c r="J281" s="5">
        <f t="shared" si="35"/>
        <v>3.6120700384838056E-2</v>
      </c>
      <c r="K281" s="7">
        <f t="shared" si="36"/>
        <v>1.0002147189758226E-4</v>
      </c>
      <c r="M281" s="7">
        <f t="shared" si="39"/>
        <v>9.9999997608124502E-5</v>
      </c>
    </row>
    <row r="282" spans="1:13" x14ac:dyDescent="0.25">
      <c r="A282">
        <f t="shared" si="32"/>
        <v>23.24999999999994</v>
      </c>
      <c r="B282" s="1">
        <v>51227</v>
      </c>
      <c r="C282" s="2">
        <v>606.98934697480297</v>
      </c>
      <c r="D282" s="2">
        <f t="shared" si="33"/>
        <v>7.1203880276413667E-3</v>
      </c>
      <c r="E282" s="5">
        <f t="shared" si="37"/>
        <v>3.5575024942603228E-2</v>
      </c>
      <c r="F282" s="5">
        <f t="shared" si="34"/>
        <v>3.6205451626040608E-2</v>
      </c>
      <c r="G282" s="1">
        <v>51227</v>
      </c>
      <c r="H282" s="2">
        <v>608.35328841561272</v>
      </c>
      <c r="I282" s="5">
        <f t="shared" si="38"/>
        <v>3.5675024940194699E-2</v>
      </c>
      <c r="J282" s="5">
        <f t="shared" si="35"/>
        <v>3.6305491019099634E-2</v>
      </c>
      <c r="K282" s="7">
        <f t="shared" si="36"/>
        <v>1.0003939305902598E-4</v>
      </c>
      <c r="M282" s="7">
        <f t="shared" si="39"/>
        <v>9.9999997591471157E-5</v>
      </c>
    </row>
    <row r="283" spans="1:13" x14ac:dyDescent="0.25">
      <c r="A283">
        <f t="shared" si="32"/>
        <v>23.333333333333272</v>
      </c>
      <c r="B283" s="1">
        <v>51257</v>
      </c>
      <c r="C283" s="2">
        <v>609.21627397217583</v>
      </c>
      <c r="D283" s="2">
        <f t="shared" si="33"/>
        <v>3.668807382652961E-3</v>
      </c>
      <c r="E283" s="5">
        <f t="shared" si="37"/>
        <v>3.5573358454274118E-2</v>
      </c>
      <c r="F283" s="5">
        <f t="shared" si="34"/>
        <v>3.6236463084843074E-2</v>
      </c>
      <c r="G283" s="1">
        <v>51257</v>
      </c>
      <c r="H283" s="2">
        <v>610.59013272028483</v>
      </c>
      <c r="I283" s="5">
        <f t="shared" si="38"/>
        <v>3.5673358451848713E-2</v>
      </c>
      <c r="J283" s="5">
        <f t="shared" si="35"/>
        <v>3.6336505553768994E-2</v>
      </c>
      <c r="K283" s="7">
        <f t="shared" si="36"/>
        <v>1.000424689259205E-4</v>
      </c>
      <c r="M283" s="7">
        <f t="shared" si="39"/>
        <v>9.9999997574595767E-5</v>
      </c>
    </row>
    <row r="284" spans="1:13" x14ac:dyDescent="0.25">
      <c r="A284">
        <f t="shared" si="32"/>
        <v>23.416666666666604</v>
      </c>
      <c r="B284" s="1">
        <v>51288</v>
      </c>
      <c r="C284" s="2">
        <v>610.30322713552448</v>
      </c>
      <c r="D284" s="2">
        <f t="shared" si="33"/>
        <v>1.7841827439402103E-3</v>
      </c>
      <c r="E284" s="5">
        <f t="shared" si="37"/>
        <v>3.557169196862664E-2</v>
      </c>
      <c r="F284" s="5">
        <f t="shared" si="34"/>
        <v>3.6184083768271202E-2</v>
      </c>
      <c r="G284" s="1">
        <v>51288</v>
      </c>
      <c r="H284" s="2">
        <v>611.68445917335259</v>
      </c>
      <c r="I284" s="5">
        <f t="shared" si="38"/>
        <v>3.5671691966184138E-2</v>
      </c>
      <c r="J284" s="5">
        <f t="shared" si="35"/>
        <v>3.6284121261595637E-2</v>
      </c>
      <c r="K284" s="7">
        <f t="shared" si="36"/>
        <v>1.0003749332443412E-4</v>
      </c>
      <c r="M284" s="7">
        <f t="shared" si="39"/>
        <v>9.9999997557498332E-5</v>
      </c>
    </row>
    <row r="285" spans="1:13" x14ac:dyDescent="0.25">
      <c r="A285">
        <f t="shared" si="32"/>
        <v>23.499999999999936</v>
      </c>
      <c r="B285" s="1">
        <v>51318</v>
      </c>
      <c r="C285" s="2">
        <v>609.78476688836793</v>
      </c>
      <c r="D285" s="2">
        <f t="shared" si="33"/>
        <v>-8.4951254410037258E-4</v>
      </c>
      <c r="E285" s="5">
        <f t="shared" si="37"/>
        <v>3.5570025485661017E-2</v>
      </c>
      <c r="F285" s="5">
        <f t="shared" si="34"/>
        <v>3.6016017692461544E-2</v>
      </c>
      <c r="G285" s="1">
        <v>51318</v>
      </c>
      <c r="H285" s="2">
        <v>611.16974348511087</v>
      </c>
      <c r="I285" s="5">
        <f t="shared" si="38"/>
        <v>3.5670025483201195E-2</v>
      </c>
      <c r="J285" s="5">
        <f t="shared" si="35"/>
        <v>3.6116039040713144E-2</v>
      </c>
      <c r="K285" s="7">
        <f t="shared" si="36"/>
        <v>1.0002134825159992E-4</v>
      </c>
      <c r="M285" s="7">
        <f t="shared" si="39"/>
        <v>9.9999997540178853E-5</v>
      </c>
    </row>
    <row r="286" spans="1:13" x14ac:dyDescent="0.25">
      <c r="A286">
        <f t="shared" si="32"/>
        <v>23.583333333333268</v>
      </c>
      <c r="B286" s="1">
        <v>51349</v>
      </c>
      <c r="C286" s="2">
        <v>612.29277881802614</v>
      </c>
      <c r="D286" s="2">
        <f t="shared" si="33"/>
        <v>4.1129461833824266E-3</v>
      </c>
      <c r="E286" s="5">
        <f t="shared" si="37"/>
        <v>3.5568359005377026E-2</v>
      </c>
      <c r="F286" s="5">
        <f t="shared" si="34"/>
        <v>3.6066800301376212E-2</v>
      </c>
      <c r="G286" s="1">
        <v>51349</v>
      </c>
      <c r="H286" s="2">
        <v>613.68838994876364</v>
      </c>
      <c r="I286" s="5">
        <f t="shared" si="38"/>
        <v>3.5668359002899441E-2</v>
      </c>
      <c r="J286" s="5">
        <f t="shared" si="35"/>
        <v>3.6166826632548554E-2</v>
      </c>
      <c r="K286" s="7">
        <f t="shared" si="36"/>
        <v>1.0002633117234261E-4</v>
      </c>
      <c r="M286" s="7">
        <f t="shared" si="39"/>
        <v>9.9999997522415285E-5</v>
      </c>
    </row>
    <row r="287" spans="1:13" x14ac:dyDescent="0.25">
      <c r="A287">
        <f t="shared" si="32"/>
        <v>23.6666666666666</v>
      </c>
      <c r="B287" s="1">
        <v>51380</v>
      </c>
      <c r="C287" s="2">
        <v>615.21549280102738</v>
      </c>
      <c r="D287" s="2">
        <f t="shared" si="33"/>
        <v>4.7733928671236381E-3</v>
      </c>
      <c r="E287" s="5">
        <f t="shared" si="37"/>
        <v>3.556669252777489E-2</v>
      </c>
      <c r="F287" s="5">
        <f t="shared" si="34"/>
        <v>3.6146014340678878E-2</v>
      </c>
      <c r="G287" s="1">
        <v>51380</v>
      </c>
      <c r="H287" s="2">
        <v>616.62272754366268</v>
      </c>
      <c r="I287" s="5">
        <f t="shared" si="38"/>
        <v>3.5666692525279542E-2</v>
      </c>
      <c r="J287" s="5">
        <f t="shared" si="35"/>
        <v>3.6246048399110053E-2</v>
      </c>
      <c r="K287" s="7">
        <f t="shared" si="36"/>
        <v>1.0003405843117541E-4</v>
      </c>
      <c r="M287" s="7">
        <f t="shared" si="39"/>
        <v>9.9999997504651716E-5</v>
      </c>
    </row>
    <row r="288" spans="1:13" x14ac:dyDescent="0.25">
      <c r="A288">
        <f t="shared" si="32"/>
        <v>23.749999999999932</v>
      </c>
      <c r="B288" s="1">
        <v>51410</v>
      </c>
      <c r="C288" s="2">
        <v>616.11248750684638</v>
      </c>
      <c r="D288" s="2">
        <f t="shared" si="33"/>
        <v>1.4580170953353289E-3</v>
      </c>
      <c r="E288" s="5">
        <f t="shared" si="37"/>
        <v>3.5565026052854387E-2</v>
      </c>
      <c r="F288" s="5">
        <f t="shared" si="34"/>
        <v>3.6080486133478029E-2</v>
      </c>
      <c r="G288" s="1">
        <v>51410</v>
      </c>
      <c r="H288" s="2">
        <v>617.52674310786597</v>
      </c>
      <c r="I288" s="5">
        <f t="shared" si="38"/>
        <v>3.5665026050341053E-2</v>
      </c>
      <c r="J288" s="5">
        <f t="shared" si="35"/>
        <v>3.6180513944561898E-2</v>
      </c>
      <c r="K288" s="7">
        <f t="shared" si="36"/>
        <v>1.0002781108386927E-4</v>
      </c>
      <c r="M288" s="7">
        <f t="shared" si="39"/>
        <v>9.9999997486666103E-5</v>
      </c>
    </row>
    <row r="289" spans="1:13" x14ac:dyDescent="0.25">
      <c r="A289">
        <f t="shared" si="32"/>
        <v>23.833333333333265</v>
      </c>
      <c r="B289" s="1">
        <v>51441</v>
      </c>
      <c r="C289" s="2">
        <v>617.1892542050897</v>
      </c>
      <c r="D289" s="2">
        <f t="shared" si="33"/>
        <v>1.7476787438615027E-3</v>
      </c>
      <c r="E289" s="5">
        <f t="shared" si="37"/>
        <v>3.5563359580615517E-2</v>
      </c>
      <c r="F289" s="5">
        <f t="shared" si="34"/>
        <v>3.6027991546798255E-2</v>
      </c>
      <c r="G289" s="1">
        <v>51441</v>
      </c>
      <c r="H289" s="2">
        <v>618.61095928105522</v>
      </c>
      <c r="I289" s="5">
        <f t="shared" si="38"/>
        <v>3.5663359578083975E-2</v>
      </c>
      <c r="J289" s="5">
        <f t="shared" si="35"/>
        <v>3.6128014368296935E-2</v>
      </c>
      <c r="K289" s="7">
        <f t="shared" si="36"/>
        <v>1.000228214986798E-4</v>
      </c>
      <c r="M289" s="7">
        <f t="shared" si="39"/>
        <v>9.9999997468458446E-5</v>
      </c>
    </row>
    <row r="290" spans="1:13" x14ac:dyDescent="0.25">
      <c r="A290">
        <f t="shared" si="32"/>
        <v>23.916666666666597</v>
      </c>
      <c r="B290" s="1">
        <v>51471</v>
      </c>
      <c r="C290" s="2">
        <v>619.64750445099764</v>
      </c>
      <c r="D290" s="2">
        <f t="shared" si="33"/>
        <v>3.9829764195653539E-3</v>
      </c>
      <c r="E290" s="5">
        <f t="shared" si="37"/>
        <v>3.5561693111058501E-2</v>
      </c>
      <c r="F290" s="5">
        <f t="shared" si="34"/>
        <v>3.6072417603670859E-2</v>
      </c>
      <c r="G290" s="1">
        <v>51471</v>
      </c>
      <c r="H290" s="2">
        <v>621.07986982196689</v>
      </c>
      <c r="I290" s="5">
        <f t="shared" si="38"/>
        <v>3.5661693108508308E-2</v>
      </c>
      <c r="J290" s="5">
        <f t="shared" si="35"/>
        <v>3.6172444792193614E-2</v>
      </c>
      <c r="K290" s="7">
        <f t="shared" si="36"/>
        <v>1.0002718852275549E-4</v>
      </c>
      <c r="M290" s="7">
        <f t="shared" si="39"/>
        <v>9.9999997449806699E-5</v>
      </c>
    </row>
    <row r="291" spans="1:13" x14ac:dyDescent="0.25">
      <c r="A291">
        <f t="shared" si="32"/>
        <v>23.999999999999929</v>
      </c>
      <c r="B291" s="1">
        <v>51502</v>
      </c>
      <c r="C291" s="2">
        <v>617.42705673819364</v>
      </c>
      <c r="D291" s="2">
        <f t="shared" si="33"/>
        <v>-3.5834045918917701E-3</v>
      </c>
      <c r="E291" s="5">
        <f t="shared" si="37"/>
        <v>3.5560026644183784E-2</v>
      </c>
      <c r="F291" s="5">
        <f t="shared" si="34"/>
        <v>3.5790000000000211E-2</v>
      </c>
      <c r="G291" s="1">
        <v>51502</v>
      </c>
      <c r="H291" s="2">
        <v>618.85926917309678</v>
      </c>
      <c r="I291" s="5">
        <f t="shared" si="38"/>
        <v>3.5660026641612275E-2</v>
      </c>
      <c r="J291" s="5">
        <f t="shared" si="35"/>
        <v>3.58900000000002E-2</v>
      </c>
      <c r="K291" s="7">
        <f t="shared" si="36"/>
        <v>9.9999999999988987E-5</v>
      </c>
      <c r="M291" s="7">
        <f t="shared" si="39"/>
        <v>9.9999997428490417E-5</v>
      </c>
    </row>
    <row r="292" spans="1:13" x14ac:dyDescent="0.25">
      <c r="A292">
        <f t="shared" si="32"/>
        <v>24.083333333333261</v>
      </c>
      <c r="B292" s="1">
        <v>51533</v>
      </c>
      <c r="C292" s="2">
        <v>621.36848614963208</v>
      </c>
      <c r="D292" s="2">
        <f t="shared" si="33"/>
        <v>6.3836357160320656E-3</v>
      </c>
      <c r="E292" s="5">
        <f t="shared" si="37"/>
        <v>3.555836015585645E-2</v>
      </c>
      <c r="F292" s="5">
        <f t="shared" si="34"/>
        <v>3.5937658047166865E-2</v>
      </c>
      <c r="G292" s="1">
        <v>51533</v>
      </c>
      <c r="H292" s="2">
        <v>622.81485304194734</v>
      </c>
      <c r="I292" s="5">
        <f t="shared" si="38"/>
        <v>3.5658360153267621E-2</v>
      </c>
      <c r="J292" s="5">
        <f t="shared" si="35"/>
        <v>3.6037672386292519E-2</v>
      </c>
      <c r="K292" s="7">
        <f t="shared" si="36"/>
        <v>1.0001433912565361E-4</v>
      </c>
      <c r="M292" s="7">
        <f t="shared" si="39"/>
        <v>9.9999997411170938E-5</v>
      </c>
    </row>
    <row r="293" spans="1:13" x14ac:dyDescent="0.25">
      <c r="A293">
        <f t="shared" si="32"/>
        <v>24.166666666666593</v>
      </c>
      <c r="B293" s="1">
        <v>51561</v>
      </c>
      <c r="C293" s="2">
        <v>624.12784878406785</v>
      </c>
      <c r="D293" s="2">
        <f t="shared" si="33"/>
        <v>4.4407830392789727E-3</v>
      </c>
      <c r="E293" s="5">
        <f t="shared" si="37"/>
        <v>3.555669367021097E-2</v>
      </c>
      <c r="F293" s="5">
        <f t="shared" si="34"/>
        <v>3.6001475401026273E-2</v>
      </c>
      <c r="G293" s="1">
        <v>51561</v>
      </c>
      <c r="H293" s="2">
        <v>625.58567270944263</v>
      </c>
      <c r="I293" s="5">
        <f t="shared" si="38"/>
        <v>3.5656693667604378E-2</v>
      </c>
      <c r="J293" s="5">
        <f t="shared" si="35"/>
        <v>3.6101495984340204E-2</v>
      </c>
      <c r="K293" s="7">
        <f t="shared" si="36"/>
        <v>1.0002058331393116E-4</v>
      </c>
      <c r="M293" s="7">
        <f t="shared" si="39"/>
        <v>9.9999997393407369E-5</v>
      </c>
    </row>
    <row r="294" spans="1:13" x14ac:dyDescent="0.25">
      <c r="A294">
        <f t="shared" si="32"/>
        <v>24.249999999999925</v>
      </c>
      <c r="B294" s="1">
        <v>51592</v>
      </c>
      <c r="C294" s="2">
        <v>628.57086970886155</v>
      </c>
      <c r="D294" s="2">
        <f t="shared" si="33"/>
        <v>7.1187673061692269E-3</v>
      </c>
      <c r="E294" s="5">
        <f t="shared" si="37"/>
        <v>3.5555027187247346E-2</v>
      </c>
      <c r="F294" s="5">
        <f t="shared" si="34"/>
        <v>3.6178621925575971E-2</v>
      </c>
      <c r="G294" s="1">
        <v>51592</v>
      </c>
      <c r="H294" s="2">
        <v>630.04414145192607</v>
      </c>
      <c r="I294" s="5">
        <f t="shared" si="38"/>
        <v>3.5655027184622767E-2</v>
      </c>
      <c r="J294" s="5">
        <f t="shared" si="35"/>
        <v>3.6278659693872228E-2</v>
      </c>
      <c r="K294" s="7">
        <f t="shared" si="36"/>
        <v>1.0003776829625721E-4</v>
      </c>
      <c r="M294" s="7">
        <f t="shared" si="39"/>
        <v>9.9999997375421756E-5</v>
      </c>
    </row>
    <row r="295" spans="1:13" x14ac:dyDescent="0.25">
      <c r="A295">
        <f t="shared" si="32"/>
        <v>24.333333333333258</v>
      </c>
      <c r="B295" s="1">
        <v>51622</v>
      </c>
      <c r="C295" s="2">
        <v>630.87595990926206</v>
      </c>
      <c r="D295" s="2">
        <f t="shared" si="33"/>
        <v>3.6671922156814585E-3</v>
      </c>
      <c r="E295" s="5">
        <f t="shared" si="37"/>
        <v>3.5553360706965353E-2</v>
      </c>
      <c r="F295" s="5">
        <f t="shared" si="34"/>
        <v>3.6208381507850884E-2</v>
      </c>
      <c r="G295" s="1">
        <v>51622</v>
      </c>
      <c r="H295" s="2">
        <v>632.35972296466139</v>
      </c>
      <c r="I295" s="5">
        <f t="shared" si="38"/>
        <v>3.5653360704322568E-2</v>
      </c>
      <c r="J295" s="5">
        <f t="shared" si="35"/>
        <v>3.6308422231123183E-2</v>
      </c>
      <c r="K295" s="7">
        <f t="shared" si="36"/>
        <v>1.0004072327229885E-4</v>
      </c>
      <c r="M295" s="7">
        <f t="shared" si="39"/>
        <v>9.9999997357214099E-5</v>
      </c>
    </row>
    <row r="296" spans="1:13" x14ac:dyDescent="0.25">
      <c r="A296">
        <f t="shared" si="32"/>
        <v>24.41666666666659</v>
      </c>
      <c r="B296" s="1">
        <v>51653</v>
      </c>
      <c r="C296" s="2">
        <v>632.0005408538417</v>
      </c>
      <c r="D296" s="2">
        <f t="shared" si="33"/>
        <v>1.7825706098253402E-3</v>
      </c>
      <c r="E296" s="5">
        <f t="shared" si="37"/>
        <v>3.555169422936566E-2</v>
      </c>
      <c r="F296" s="5">
        <f t="shared" si="34"/>
        <v>3.6158176272644837E-2</v>
      </c>
      <c r="G296" s="1">
        <v>51653</v>
      </c>
      <c r="H296" s="2">
        <v>633.49204647502779</v>
      </c>
      <c r="I296" s="5">
        <f t="shared" si="38"/>
        <v>3.5651694226704E-2</v>
      </c>
      <c r="J296" s="5">
        <f t="shared" si="35"/>
        <v>3.6258212230130482E-2</v>
      </c>
      <c r="K296" s="7">
        <f t="shared" si="36"/>
        <v>1.0003595748564464E-4</v>
      </c>
      <c r="M296" s="7">
        <f t="shared" si="39"/>
        <v>9.9999997338340307E-5</v>
      </c>
    </row>
    <row r="297" spans="1:13" x14ac:dyDescent="0.25">
      <c r="A297">
        <f t="shared" si="32"/>
        <v>24.499999999999922</v>
      </c>
      <c r="B297" s="1">
        <v>51683</v>
      </c>
      <c r="C297" s="2">
        <v>631.46263227548855</v>
      </c>
      <c r="D297" s="2">
        <f t="shared" si="33"/>
        <v>-8.5112043990731578E-4</v>
      </c>
      <c r="E297" s="5">
        <f t="shared" si="37"/>
        <v>3.5550027754447155E-2</v>
      </c>
      <c r="F297" s="5">
        <f t="shared" si="34"/>
        <v>3.5996993590872828E-2</v>
      </c>
      <c r="G297" s="1">
        <v>51683</v>
      </c>
      <c r="H297" s="2">
        <v>632.95796180139541</v>
      </c>
      <c r="I297" s="5">
        <f t="shared" si="38"/>
        <v>3.5650027751767066E-2</v>
      </c>
      <c r="J297" s="5">
        <f t="shared" si="35"/>
        <v>3.6097014067678179E-2</v>
      </c>
      <c r="K297" s="7">
        <f t="shared" si="36"/>
        <v>1.0002047680535142E-4</v>
      </c>
      <c r="M297" s="7">
        <f t="shared" si="39"/>
        <v>9.9999997319910605E-5</v>
      </c>
    </row>
    <row r="298" spans="1:13" x14ac:dyDescent="0.25">
      <c r="A298">
        <f t="shared" si="32"/>
        <v>24.583333333333254</v>
      </c>
      <c r="B298" s="1">
        <v>51714</v>
      </c>
      <c r="C298" s="2">
        <v>634.05878372993811</v>
      </c>
      <c r="D298" s="2">
        <f t="shared" si="33"/>
        <v>4.1113303016748759E-3</v>
      </c>
      <c r="E298" s="5">
        <f t="shared" si="37"/>
        <v>3.5548361282210728E-2</v>
      </c>
      <c r="F298" s="5">
        <f t="shared" si="34"/>
        <v>3.60457061931172E-2</v>
      </c>
      <c r="G298" s="1">
        <v>51714</v>
      </c>
      <c r="H298" s="2">
        <v>635.56537538669897</v>
      </c>
      <c r="I298" s="5">
        <f t="shared" si="38"/>
        <v>3.5648361279511542E-2</v>
      </c>
      <c r="J298" s="5">
        <f t="shared" si="35"/>
        <v>3.6145731453055996E-2</v>
      </c>
      <c r="K298" s="7">
        <f t="shared" si="36"/>
        <v>1.000252599387963E-4</v>
      </c>
      <c r="M298" s="7">
        <f t="shared" si="39"/>
        <v>9.9999997300814769E-5</v>
      </c>
    </row>
    <row r="299" spans="1:13" x14ac:dyDescent="0.25">
      <c r="A299">
        <f t="shared" si="32"/>
        <v>24.666666666666586</v>
      </c>
      <c r="B299" s="1">
        <v>51745</v>
      </c>
      <c r="C299" s="2">
        <v>637.08437016764333</v>
      </c>
      <c r="D299" s="2">
        <f t="shared" si="33"/>
        <v>4.7717759225835987E-3</v>
      </c>
      <c r="E299" s="5">
        <f t="shared" si="37"/>
        <v>3.5546694812656154E-2</v>
      </c>
      <c r="F299" s="5">
        <f t="shared" si="34"/>
        <v>3.6121710858612044E-2</v>
      </c>
      <c r="G299" s="1">
        <v>51745</v>
      </c>
      <c r="H299" s="2">
        <v>638.60328972528293</v>
      </c>
      <c r="I299" s="5">
        <f t="shared" si="38"/>
        <v>3.5646694809937651E-2</v>
      </c>
      <c r="J299" s="5">
        <f t="shared" si="35"/>
        <v>3.6221743536070328E-2</v>
      </c>
      <c r="K299" s="7">
        <f t="shared" si="36"/>
        <v>1.0003267745828381E-4</v>
      </c>
      <c r="M299" s="7">
        <f t="shared" si="39"/>
        <v>9.9999997281496888E-5</v>
      </c>
    </row>
    <row r="300" spans="1:13" x14ac:dyDescent="0.25">
      <c r="A300">
        <f t="shared" si="32"/>
        <v>24.749999999999918</v>
      </c>
      <c r="B300" s="1">
        <v>51775</v>
      </c>
      <c r="C300" s="2">
        <v>638.01222333946828</v>
      </c>
      <c r="D300" s="2">
        <f t="shared" si="33"/>
        <v>1.4564054861065934E-3</v>
      </c>
      <c r="E300" s="5">
        <f t="shared" si="37"/>
        <v>3.5545028345783214E-2</v>
      </c>
      <c r="F300" s="5">
        <f t="shared" si="34"/>
        <v>3.605884610894261E-2</v>
      </c>
      <c r="G300" s="1">
        <v>51775</v>
      </c>
      <c r="H300" s="2">
        <v>639.53850136853418</v>
      </c>
      <c r="I300" s="5">
        <f t="shared" si="38"/>
        <v>3.5645028343045171E-2</v>
      </c>
      <c r="J300" s="5">
        <f t="shared" si="35"/>
        <v>3.615887279619634E-2</v>
      </c>
      <c r="K300" s="7">
        <f t="shared" si="36"/>
        <v>1.0002668725372921E-4</v>
      </c>
      <c r="M300" s="7">
        <f t="shared" si="39"/>
        <v>9.9999997261956963E-5</v>
      </c>
    </row>
    <row r="301" spans="1:13" x14ac:dyDescent="0.25">
      <c r="A301">
        <f t="shared" si="32"/>
        <v>24.83333333333325</v>
      </c>
      <c r="B301" s="1">
        <v>51806</v>
      </c>
      <c r="C301" s="2">
        <v>639.12623521673117</v>
      </c>
      <c r="D301" s="2">
        <f t="shared" si="33"/>
        <v>1.7460666684909754E-3</v>
      </c>
      <c r="E301" s="5">
        <f t="shared" si="37"/>
        <v>3.5543361881592128E-2</v>
      </c>
      <c r="F301" s="5">
        <f t="shared" si="34"/>
        <v>3.6008471876330939E-2</v>
      </c>
      <c r="G301" s="1">
        <v>51806</v>
      </c>
      <c r="H301" s="2">
        <v>640.66033356492267</v>
      </c>
      <c r="I301" s="5">
        <f t="shared" si="38"/>
        <v>3.5643361878834323E-2</v>
      </c>
      <c r="J301" s="5">
        <f t="shared" si="35"/>
        <v>3.6108493778742368E-2</v>
      </c>
      <c r="K301" s="7">
        <f t="shared" si="36"/>
        <v>1.0002190241142905E-4</v>
      </c>
      <c r="M301" s="7">
        <f t="shared" si="39"/>
        <v>9.9999997242194993E-5</v>
      </c>
    </row>
    <row r="302" spans="1:13" x14ac:dyDescent="0.25">
      <c r="A302">
        <f t="shared" si="32"/>
        <v>24.916666666666583</v>
      </c>
      <c r="B302" s="1">
        <v>51836</v>
      </c>
      <c r="C302" s="2">
        <v>641.67082732200947</v>
      </c>
      <c r="D302" s="2">
        <f t="shared" si="33"/>
        <v>3.9813607470133849E-3</v>
      </c>
      <c r="E302" s="5">
        <f t="shared" si="37"/>
        <v>3.5541695420082897E-2</v>
      </c>
      <c r="F302" s="5">
        <f t="shared" si="34"/>
        <v>3.6051112478522995E-2</v>
      </c>
      <c r="G302" s="1">
        <v>51836</v>
      </c>
      <c r="H302" s="2">
        <v>643.21620937198077</v>
      </c>
      <c r="I302" s="5">
        <f t="shared" si="38"/>
        <v>3.5641695417304886E-2</v>
      </c>
      <c r="J302" s="5">
        <f t="shared" si="35"/>
        <v>3.6151138575725161E-2</v>
      </c>
      <c r="K302" s="7">
        <f t="shared" si="36"/>
        <v>1.0002609720216604E-4</v>
      </c>
      <c r="M302" s="7">
        <f t="shared" si="39"/>
        <v>9.9999997221988934E-5</v>
      </c>
    </row>
    <row r="303" spans="1:13" x14ac:dyDescent="0.25">
      <c r="A303">
        <f t="shared" si="32"/>
        <v>24.999999999999915</v>
      </c>
      <c r="B303" s="1">
        <v>51867</v>
      </c>
      <c r="C303" s="2">
        <v>639.37043221613203</v>
      </c>
      <c r="D303" s="2">
        <f t="shared" si="33"/>
        <v>-3.5850080881471014E-3</v>
      </c>
      <c r="E303" s="5">
        <f t="shared" si="37"/>
        <v>3.5540028961255965E-2</v>
      </c>
      <c r="F303" s="5">
        <f t="shared" si="34"/>
        <v>3.5780000000000145E-2</v>
      </c>
      <c r="G303" s="1">
        <v>51867</v>
      </c>
      <c r="H303" s="2">
        <v>640.91543144763568</v>
      </c>
      <c r="I303" s="5">
        <f t="shared" si="38"/>
        <v>3.5640028958457304E-2</v>
      </c>
      <c r="J303" s="5">
        <f t="shared" si="35"/>
        <v>3.5879999999999912E-2</v>
      </c>
      <c r="K303" s="7">
        <f t="shared" si="36"/>
        <v>9.9999999999766942E-5</v>
      </c>
      <c r="M303" s="7">
        <f t="shared" si="39"/>
        <v>9.9999997201338786E-5</v>
      </c>
    </row>
    <row r="304" spans="1:13" x14ac:dyDescent="0.25">
      <c r="A304">
        <f t="shared" si="32"/>
        <v>25.083333333333247</v>
      </c>
      <c r="B304" s="1">
        <v>51898</v>
      </c>
      <c r="C304" s="2">
        <v>643.26786303222264</v>
      </c>
      <c r="D304" s="2">
        <f t="shared" si="33"/>
        <v>6.0957320196708409E-3</v>
      </c>
      <c r="E304" s="5">
        <f t="shared" si="37"/>
        <v>3.524378427733299E-2</v>
      </c>
      <c r="F304" s="5">
        <f t="shared" si="34"/>
        <v>3.5909986406669425E-2</v>
      </c>
      <c r="G304" s="1">
        <v>51898</v>
      </c>
      <c r="H304" s="2">
        <v>644.8274868455087</v>
      </c>
      <c r="I304" s="5">
        <f t="shared" si="38"/>
        <v>3.5343784265978062E-2</v>
      </c>
      <c r="J304" s="5">
        <f t="shared" si="35"/>
        <v>3.6010000174174328E-2</v>
      </c>
      <c r="K304" s="7">
        <f t="shared" si="36"/>
        <v>1.0001376750490287E-4</v>
      </c>
      <c r="M304" s="7">
        <f t="shared" si="39"/>
        <v>9.999998864507198E-5</v>
      </c>
    </row>
    <row r="305" spans="1:13" x14ac:dyDescent="0.25">
      <c r="A305">
        <f t="shared" si="32"/>
        <v>25.166666666666579</v>
      </c>
      <c r="B305" s="1">
        <v>51926</v>
      </c>
      <c r="C305" s="2">
        <v>645.93963438496814</v>
      </c>
      <c r="D305" s="2">
        <f t="shared" si="33"/>
        <v>4.1534351493193178E-3</v>
      </c>
      <c r="E305" s="5">
        <f t="shared" si="37"/>
        <v>3.4947624342342998E-2</v>
      </c>
      <c r="F305" s="5">
        <f t="shared" si="34"/>
        <v>3.5959580059027552E-2</v>
      </c>
      <c r="G305" s="1">
        <v>51926</v>
      </c>
      <c r="H305" s="2">
        <v>647.51096434294277</v>
      </c>
      <c r="I305" s="5">
        <f t="shared" si="38"/>
        <v>3.5047624314253678E-2</v>
      </c>
      <c r="J305" s="5">
        <f t="shared" si="35"/>
        <v>3.6059599824521449E-2</v>
      </c>
      <c r="K305" s="7">
        <f t="shared" si="36"/>
        <v>1.0001976549389724E-4</v>
      </c>
      <c r="M305" s="7">
        <f t="shared" si="39"/>
        <v>9.999997191068033E-5</v>
      </c>
    </row>
    <row r="306" spans="1:13" x14ac:dyDescent="0.25">
      <c r="A306">
        <f t="shared" si="32"/>
        <v>25.249999999999911</v>
      </c>
      <c r="B306" s="1">
        <v>51957</v>
      </c>
      <c r="C306" s="2">
        <v>650.35182408354842</v>
      </c>
      <c r="D306" s="2">
        <f t="shared" si="33"/>
        <v>6.8306533052138185E-3</v>
      </c>
      <c r="E306" s="5">
        <f t="shared" si="37"/>
        <v>3.4651549132041826E-2</v>
      </c>
      <c r="F306" s="5">
        <f t="shared" si="34"/>
        <v>3.6118100953869137E-2</v>
      </c>
      <c r="G306" s="1">
        <v>51957</v>
      </c>
      <c r="H306" s="2">
        <v>651.93915135555676</v>
      </c>
      <c r="I306" s="5">
        <f t="shared" si="38"/>
        <v>3.4751549079043986E-2</v>
      </c>
      <c r="J306" s="5">
        <f t="shared" si="35"/>
        <v>3.6218137226309066E-2</v>
      </c>
      <c r="K306" s="7">
        <f t="shared" si="36"/>
        <v>1.0003627243992952E-4</v>
      </c>
      <c r="M306" s="7">
        <f t="shared" si="39"/>
        <v>9.9999947002160638E-5</v>
      </c>
    </row>
    <row r="307" spans="1:13" x14ac:dyDescent="0.25">
      <c r="A307">
        <f t="shared" si="32"/>
        <v>25.333333333333243</v>
      </c>
      <c r="B307" s="1">
        <v>51987</v>
      </c>
      <c r="C307" s="2">
        <v>652.55005593325575</v>
      </c>
      <c r="D307" s="2">
        <f t="shared" si="33"/>
        <v>3.3800656326365974E-3</v>
      </c>
      <c r="E307" s="5">
        <f t="shared" si="37"/>
        <v>3.4355558622191085E-2</v>
      </c>
      <c r="F307" s="5">
        <f t="shared" si="34"/>
        <v>3.6135180881933904E-2</v>
      </c>
      <c r="G307" s="1">
        <v>51987</v>
      </c>
      <c r="H307" s="2">
        <v>654.14803041515233</v>
      </c>
      <c r="I307" s="5">
        <f t="shared" si="38"/>
        <v>3.4455558536115927E-2</v>
      </c>
      <c r="J307" s="5">
        <f t="shared" si="35"/>
        <v>3.6235219997616808E-2</v>
      </c>
      <c r="K307" s="7">
        <f t="shared" si="36"/>
        <v>1.0003911568290391E-4</v>
      </c>
      <c r="M307" s="7">
        <f t="shared" si="39"/>
        <v>9.9999913924841977E-5</v>
      </c>
    </row>
    <row r="308" spans="1:13" x14ac:dyDescent="0.25">
      <c r="A308">
        <f t="shared" si="32"/>
        <v>25.416666666666575</v>
      </c>
      <c r="B308" s="1">
        <v>52018</v>
      </c>
      <c r="C308" s="2">
        <v>653.52625983750556</v>
      </c>
      <c r="D308" s="2">
        <f t="shared" si="33"/>
        <v>1.4959831745837704E-3</v>
      </c>
      <c r="E308" s="5">
        <f t="shared" si="37"/>
        <v>3.4059652788559713E-2</v>
      </c>
      <c r="F308" s="5">
        <f t="shared" si="34"/>
        <v>3.6075530988317395E-2</v>
      </c>
      <c r="G308" s="1">
        <v>52018</v>
      </c>
      <c r="H308" s="2">
        <v>655.1319147462749</v>
      </c>
      <c r="I308" s="5">
        <f t="shared" si="38"/>
        <v>3.4159652661243323E-2</v>
      </c>
      <c r="J308" s="5">
        <f t="shared" si="35"/>
        <v>3.6175565531080034E-2</v>
      </c>
      <c r="K308" s="7">
        <f t="shared" si="36"/>
        <v>1.0003454276263923E-4</v>
      </c>
      <c r="M308" s="7">
        <f t="shared" si="39"/>
        <v>9.9999872683609325E-5</v>
      </c>
    </row>
    <row r="309" spans="1:13" x14ac:dyDescent="0.25">
      <c r="A309">
        <f t="shared" si="32"/>
        <v>25.499999999999908</v>
      </c>
      <c r="B309" s="1">
        <v>52048</v>
      </c>
      <c r="C309" s="2">
        <v>652.78323025770351</v>
      </c>
      <c r="D309" s="2">
        <f t="shared" si="33"/>
        <v>-1.1369544354450367E-3</v>
      </c>
      <c r="E309" s="5">
        <f t="shared" si="37"/>
        <v>3.3763831606924644E-2</v>
      </c>
      <c r="F309" s="5">
        <f t="shared" si="34"/>
        <v>3.5909327797677193E-2</v>
      </c>
      <c r="G309" s="1">
        <v>52048</v>
      </c>
      <c r="H309" s="2">
        <v>654.39234352224503</v>
      </c>
      <c r="I309" s="5">
        <f t="shared" si="38"/>
        <v>3.3863831430206659E-2</v>
      </c>
      <c r="J309" s="5">
        <f t="shared" si="35"/>
        <v>3.6009347471638531E-2</v>
      </c>
      <c r="K309" s="7">
        <f t="shared" si="36"/>
        <v>1.0001967396133793E-4</v>
      </c>
      <c r="M309" s="7">
        <f t="shared" si="39"/>
        <v>9.9999823282015399E-5</v>
      </c>
    </row>
    <row r="310" spans="1:13" x14ac:dyDescent="0.25">
      <c r="A310">
        <f t="shared" si="32"/>
        <v>25.58333333333324</v>
      </c>
      <c r="B310" s="1">
        <v>52079</v>
      </c>
      <c r="C310" s="2">
        <v>655.27952337304453</v>
      </c>
      <c r="D310" s="2">
        <f t="shared" si="33"/>
        <v>3.8240766607247068E-3</v>
      </c>
      <c r="E310" s="5">
        <f t="shared" si="37"/>
        <v>3.3468095053068359E-2</v>
      </c>
      <c r="F310" s="5">
        <f t="shared" si="34"/>
        <v>3.5944832032087648E-2</v>
      </c>
      <c r="G310" s="1">
        <v>52079</v>
      </c>
      <c r="H310" s="2">
        <v>656.90009417122212</v>
      </c>
      <c r="I310" s="5">
        <f t="shared" si="38"/>
        <v>3.356809481879397E-2</v>
      </c>
      <c r="J310" s="5">
        <f t="shared" si="35"/>
        <v>3.6044856304785933E-2</v>
      </c>
      <c r="K310" s="7">
        <f t="shared" si="36"/>
        <v>1.0002427269828473E-4</v>
      </c>
      <c r="M310" s="7">
        <f t="shared" si="39"/>
        <v>9.9999765725611311E-5</v>
      </c>
    </row>
    <row r="311" spans="1:13" x14ac:dyDescent="0.25">
      <c r="A311">
        <f t="shared" si="32"/>
        <v>25.666666666666572</v>
      </c>
      <c r="B311" s="1">
        <v>52110</v>
      </c>
      <c r="C311" s="2">
        <v>658.21801518870018</v>
      </c>
      <c r="D311" s="2">
        <f t="shared" si="33"/>
        <v>4.484333343013347E-3</v>
      </c>
      <c r="E311" s="5">
        <f t="shared" si="37"/>
        <v>3.3172443102780447E-2</v>
      </c>
      <c r="F311" s="5">
        <f t="shared" si="34"/>
        <v>3.6006646863416591E-2</v>
      </c>
      <c r="G311" s="1">
        <v>52110</v>
      </c>
      <c r="H311" s="2">
        <v>659.85118115634714</v>
      </c>
      <c r="I311" s="5">
        <f t="shared" si="38"/>
        <v>3.3272442802799729E-2</v>
      </c>
      <c r="J311" s="5">
        <f t="shared" si="35"/>
        <v>3.6106678267744163E-2</v>
      </c>
      <c r="K311" s="7">
        <f t="shared" si="36"/>
        <v>1.0003140432757185E-4</v>
      </c>
      <c r="M311" s="7">
        <f t="shared" si="39"/>
        <v>9.9999700019282045E-5</v>
      </c>
    </row>
    <row r="312" spans="1:13" x14ac:dyDescent="0.25">
      <c r="A312">
        <f t="shared" si="32"/>
        <v>25.749999999999904</v>
      </c>
      <c r="B312" s="1">
        <v>52140</v>
      </c>
      <c r="C312" s="2">
        <v>658.98807192160643</v>
      </c>
      <c r="D312" s="2">
        <f t="shared" si="33"/>
        <v>1.1699113593623967E-3</v>
      </c>
      <c r="E312" s="5">
        <f t="shared" si="37"/>
        <v>3.2876875731858046E-2</v>
      </c>
      <c r="F312" s="5">
        <f t="shared" si="34"/>
        <v>3.5935091687816501E-2</v>
      </c>
      <c r="G312" s="1">
        <v>52140</v>
      </c>
      <c r="H312" s="2">
        <v>660.62848281482252</v>
      </c>
      <c r="I312" s="5">
        <f t="shared" si="38"/>
        <v>3.2976875358025071E-2</v>
      </c>
      <c r="J312" s="5">
        <f t="shared" si="35"/>
        <v>3.6035117338721001E-2</v>
      </c>
      <c r="K312" s="7">
        <f t="shared" si="36"/>
        <v>1.0002565090450055E-4</v>
      </c>
      <c r="M312" s="7">
        <f t="shared" si="39"/>
        <v>9.9999626167024402E-5</v>
      </c>
    </row>
    <row r="313" spans="1:13" x14ac:dyDescent="0.25">
      <c r="A313">
        <f t="shared" si="32"/>
        <v>25.833333333333236</v>
      </c>
      <c r="B313" s="1">
        <v>52171</v>
      </c>
      <c r="C313" s="2">
        <v>659.94985820931845</v>
      </c>
      <c r="D313" s="2">
        <f t="shared" si="33"/>
        <v>1.459489676205239E-3</v>
      </c>
      <c r="E313" s="5">
        <f t="shared" si="37"/>
        <v>3.2581392916104956E-2</v>
      </c>
      <c r="F313" s="5">
        <f t="shared" si="34"/>
        <v>3.5875599372539257E-2</v>
      </c>
      <c r="G313" s="1">
        <v>52171</v>
      </c>
      <c r="H313" s="2">
        <v>661.59800535989109</v>
      </c>
      <c r="I313" s="5">
        <f t="shared" si="38"/>
        <v>3.2681392460278902E-2</v>
      </c>
      <c r="J313" s="5">
        <f t="shared" si="35"/>
        <v>3.5975620427160182E-2</v>
      </c>
      <c r="K313" s="7">
        <f t="shared" si="36"/>
        <v>1.0002105462092459E-4</v>
      </c>
      <c r="M313" s="7">
        <f t="shared" si="39"/>
        <v>9.9999544173945409E-5</v>
      </c>
    </row>
    <row r="314" spans="1:13" x14ac:dyDescent="0.25">
      <c r="A314">
        <f t="shared" si="32"/>
        <v>25.916666666666568</v>
      </c>
      <c r="B314" s="1">
        <v>52201</v>
      </c>
      <c r="C314" s="2">
        <v>662.38780820801003</v>
      </c>
      <c r="D314" s="2">
        <f t="shared" si="33"/>
        <v>3.6941442874260932E-3</v>
      </c>
      <c r="E314" s="5">
        <f t="shared" si="37"/>
        <v>3.2285994631331638E-2</v>
      </c>
      <c r="F314" s="5">
        <f t="shared" si="34"/>
        <v>3.5905580223007938E-2</v>
      </c>
      <c r="G314" s="1">
        <v>52201</v>
      </c>
      <c r="H314" s="2">
        <v>664.0474057243199</v>
      </c>
      <c r="I314" s="5">
        <f t="shared" si="38"/>
        <v>3.2385994085376346E-2</v>
      </c>
      <c r="J314" s="5">
        <f t="shared" si="35"/>
        <v>3.6005605313190969E-2</v>
      </c>
      <c r="K314" s="7">
        <f t="shared" si="36"/>
        <v>1.000250901830313E-4</v>
      </c>
      <c r="M314" s="7">
        <f t="shared" si="39"/>
        <v>9.9999454044708003E-5</v>
      </c>
    </row>
    <row r="315" spans="1:13" x14ac:dyDescent="0.25">
      <c r="A315">
        <f t="shared" si="32"/>
        <v>25.999999999999901</v>
      </c>
      <c r="B315" s="1">
        <v>52232</v>
      </c>
      <c r="C315" s="2">
        <v>659.82432766022907</v>
      </c>
      <c r="D315" s="2">
        <f t="shared" si="33"/>
        <v>-3.8700599799927904E-3</v>
      </c>
      <c r="E315" s="5">
        <f t="shared" si="37"/>
        <v>3.1990680853353659E-2</v>
      </c>
      <c r="F315" s="5">
        <f t="shared" si="34"/>
        <v>3.5633999999999943E-2</v>
      </c>
      <c r="G315" s="1">
        <v>52232</v>
      </c>
      <c r="H315" s="2">
        <v>661.48284359932416</v>
      </c>
      <c r="I315" s="5">
        <f t="shared" si="38"/>
        <v>3.2090680209138966E-2</v>
      </c>
      <c r="J315" s="5">
        <f t="shared" si="35"/>
        <v>3.5734000000000155E-2</v>
      </c>
      <c r="K315" s="7">
        <f t="shared" si="36"/>
        <v>1.0000000000021103E-4</v>
      </c>
      <c r="M315" s="7">
        <f t="shared" si="39"/>
        <v>9.9999355785307387E-5</v>
      </c>
    </row>
    <row r="316" spans="1:13" x14ac:dyDescent="0.25">
      <c r="A316">
        <f t="shared" si="32"/>
        <v>26.083333333333233</v>
      </c>
      <c r="B316" s="1">
        <v>52263</v>
      </c>
      <c r="C316" s="2">
        <v>663.83081375432528</v>
      </c>
      <c r="D316" s="2">
        <f t="shared" si="33"/>
        <v>6.0720496746511365E-3</v>
      </c>
      <c r="E316" s="5">
        <f t="shared" si="37"/>
        <v>3.1966388970798842E-2</v>
      </c>
      <c r="F316" s="5">
        <f t="shared" si="34"/>
        <v>3.5758516728930045E-2</v>
      </c>
      <c r="G316" s="1">
        <v>52263</v>
      </c>
      <c r="H316" s="2">
        <v>665.50477543977149</v>
      </c>
      <c r="I316" s="5">
        <f t="shared" si="38"/>
        <v>3.2066388322582018E-2</v>
      </c>
      <c r="J316" s="5">
        <f t="shared" si="35"/>
        <v>3.5858529968575414E-2</v>
      </c>
      <c r="K316" s="7">
        <f t="shared" si="36"/>
        <v>1.0001323964536901E-4</v>
      </c>
      <c r="M316" s="7">
        <f t="shared" si="39"/>
        <v>9.9999351783175427E-5</v>
      </c>
    </row>
    <row r="317" spans="1:13" x14ac:dyDescent="0.25">
      <c r="A317">
        <f t="shared" si="32"/>
        <v>26.166666666666565</v>
      </c>
      <c r="B317" s="1">
        <v>52291</v>
      </c>
      <c r="C317" s="2">
        <v>666.5723012689881</v>
      </c>
      <c r="D317" s="2">
        <f t="shared" si="33"/>
        <v>4.1297985237507273E-3</v>
      </c>
      <c r="E317" s="5">
        <f t="shared" si="37"/>
        <v>3.1942097660047297E-2</v>
      </c>
      <c r="F317" s="5">
        <f t="shared" si="34"/>
        <v>3.5805758643471908E-2</v>
      </c>
      <c r="G317" s="1">
        <v>52291</v>
      </c>
      <c r="H317" s="2">
        <v>668.25857347601618</v>
      </c>
      <c r="I317" s="5">
        <f t="shared" si="38"/>
        <v>3.2042097007773274E-2</v>
      </c>
      <c r="J317" s="5">
        <f t="shared" si="35"/>
        <v>3.5905777653530535E-2</v>
      </c>
      <c r="K317" s="7">
        <f t="shared" si="36"/>
        <v>1.0001901005862734E-4</v>
      </c>
      <c r="M317" s="7">
        <f t="shared" si="39"/>
        <v>9.9999347725976406E-5</v>
      </c>
    </row>
    <row r="318" spans="1:13" x14ac:dyDescent="0.25">
      <c r="A318">
        <f t="shared" si="32"/>
        <v>26.249999999999897</v>
      </c>
      <c r="B318" s="1">
        <v>52322</v>
      </c>
      <c r="C318" s="2">
        <v>671.10962803542293</v>
      </c>
      <c r="D318" s="2">
        <f t="shared" si="33"/>
        <v>6.8069536609860481E-3</v>
      </c>
      <c r="E318" s="5">
        <f t="shared" si="37"/>
        <v>3.1917806921085479E-2</v>
      </c>
      <c r="F318" s="5">
        <f t="shared" si="34"/>
        <v>3.5957776945815256E-2</v>
      </c>
      <c r="G318" s="1">
        <v>52322</v>
      </c>
      <c r="H318" s="2">
        <v>672.81281280003111</v>
      </c>
      <c r="I318" s="5">
        <f t="shared" si="38"/>
        <v>3.2017806264698745E-2</v>
      </c>
      <c r="J318" s="5">
        <f t="shared" si="35"/>
        <v>3.605781183621426E-2</v>
      </c>
      <c r="K318" s="7">
        <f t="shared" si="36"/>
        <v>1.0003489039900337E-4</v>
      </c>
      <c r="M318" s="7">
        <f t="shared" si="39"/>
        <v>9.9999343613266234E-5</v>
      </c>
    </row>
    <row r="319" spans="1:13" x14ac:dyDescent="0.25">
      <c r="A319">
        <f t="shared" si="32"/>
        <v>26.333333333333229</v>
      </c>
      <c r="B319" s="1">
        <v>52352</v>
      </c>
      <c r="C319" s="2">
        <v>673.36217207492132</v>
      </c>
      <c r="D319" s="2">
        <f t="shared" si="33"/>
        <v>3.3564472113034594E-3</v>
      </c>
      <c r="E319" s="5">
        <f t="shared" si="37"/>
        <v>3.1893516753899842E-2</v>
      </c>
      <c r="F319" s="5">
        <f t="shared" si="34"/>
        <v>3.5973786996452706E-2</v>
      </c>
      <c r="G319" s="1">
        <v>52352</v>
      </c>
      <c r="H319" s="2">
        <v>675.07652595366972</v>
      </c>
      <c r="I319" s="5">
        <f t="shared" si="38"/>
        <v>3.1993516093345331E-2</v>
      </c>
      <c r="J319" s="5">
        <f t="shared" si="35"/>
        <v>3.6073824626458917E-2</v>
      </c>
      <c r="K319" s="7">
        <f t="shared" si="36"/>
        <v>1.0003763000621113E-4</v>
      </c>
      <c r="M319" s="7">
        <f t="shared" si="39"/>
        <v>9.9999339445488999E-5</v>
      </c>
    </row>
    <row r="320" spans="1:13" x14ac:dyDescent="0.25">
      <c r="A320">
        <f t="shared" si="32"/>
        <v>26.416666666666561</v>
      </c>
      <c r="B320" s="1">
        <v>52383</v>
      </c>
      <c r="C320" s="2">
        <v>674.35363666629689</v>
      </c>
      <c r="D320" s="2">
        <f t="shared" si="33"/>
        <v>1.4724091024009844E-3</v>
      </c>
      <c r="E320" s="5">
        <f t="shared" si="37"/>
        <v>3.1869227158477065E-2</v>
      </c>
      <c r="F320" s="5">
        <f t="shared" si="34"/>
        <v>3.5915990005854326E-2</v>
      </c>
      <c r="G320" s="1">
        <v>52383</v>
      </c>
      <c r="H320" s="2">
        <v>676.07597531204976</v>
      </c>
      <c r="I320" s="5">
        <f t="shared" si="38"/>
        <v>3.1969226493699709E-2</v>
      </c>
      <c r="J320" s="5">
        <f t="shared" si="35"/>
        <v>3.6016023240796446E-2</v>
      </c>
      <c r="K320" s="7">
        <f t="shared" si="36"/>
        <v>1.0003323494212069E-4</v>
      </c>
      <c r="M320" s="7">
        <f t="shared" si="39"/>
        <v>9.9999335222644703E-5</v>
      </c>
    </row>
    <row r="321" spans="1:13" x14ac:dyDescent="0.25">
      <c r="A321">
        <f t="shared" si="32"/>
        <v>26.499999999999893</v>
      </c>
      <c r="B321" s="1">
        <v>52413</v>
      </c>
      <c r="C321" s="2">
        <v>673.57107184069741</v>
      </c>
      <c r="D321" s="2">
        <f t="shared" si="33"/>
        <v>-1.1604665312818785E-3</v>
      </c>
      <c r="E321" s="5">
        <f t="shared" si="37"/>
        <v>3.1844938134803824E-2</v>
      </c>
      <c r="F321" s="5">
        <f t="shared" si="34"/>
        <v>3.5755664331805548E-2</v>
      </c>
      <c r="G321" s="1">
        <v>52413</v>
      </c>
      <c r="H321" s="2">
        <v>675.29686601412766</v>
      </c>
      <c r="I321" s="5">
        <f t="shared" si="38"/>
        <v>3.1944937465748335E-2</v>
      </c>
      <c r="J321" s="5">
        <f t="shared" si="35"/>
        <v>3.5855683263292581E-2</v>
      </c>
      <c r="K321" s="7">
        <f t="shared" si="36"/>
        <v>1.0001893148703367E-4</v>
      </c>
      <c r="M321" s="7">
        <f t="shared" si="39"/>
        <v>9.99993309445113E-5</v>
      </c>
    </row>
    <row r="322" spans="1:13" x14ac:dyDescent="0.25">
      <c r="A322">
        <f t="shared" si="32"/>
        <v>26.583333333333226</v>
      </c>
      <c r="B322" s="1">
        <v>52444</v>
      </c>
      <c r="C322" s="2">
        <v>676.13094353065367</v>
      </c>
      <c r="D322" s="2">
        <f t="shared" si="33"/>
        <v>3.8004477878790244E-3</v>
      </c>
      <c r="E322" s="5">
        <f t="shared" si="37"/>
        <v>3.1820649682866131E-2</v>
      </c>
      <c r="F322" s="5">
        <f t="shared" si="34"/>
        <v>3.5789392401077702E-2</v>
      </c>
      <c r="G322" s="1">
        <v>52444</v>
      </c>
      <c r="H322" s="2">
        <v>677.86877151155431</v>
      </c>
      <c r="I322" s="5">
        <f t="shared" si="38"/>
        <v>3.1920649009477442E-2</v>
      </c>
      <c r="J322" s="5">
        <f t="shared" si="35"/>
        <v>3.5889415760599119E-2</v>
      </c>
      <c r="K322" s="7">
        <f t="shared" si="36"/>
        <v>1.0002335952141728E-4</v>
      </c>
      <c r="M322" s="7">
        <f t="shared" si="39"/>
        <v>9.9999326611310835E-5</v>
      </c>
    </row>
    <row r="323" spans="1:13" x14ac:dyDescent="0.25">
      <c r="A323">
        <f t="shared" si="32"/>
        <v>26.666666666666558</v>
      </c>
      <c r="B323" s="1">
        <v>52475</v>
      </c>
      <c r="C323" s="2">
        <v>679.14695334466296</v>
      </c>
      <c r="D323" s="2">
        <f t="shared" si="33"/>
        <v>4.4606889284790618E-3</v>
      </c>
      <c r="E323" s="5">
        <f t="shared" si="37"/>
        <v>3.1796361802651107E-2</v>
      </c>
      <c r="F323" s="5">
        <f t="shared" si="34"/>
        <v>3.5848451560779093E-2</v>
      </c>
      <c r="G323" s="1">
        <v>52475</v>
      </c>
      <c r="H323" s="2">
        <v>680.89803271918436</v>
      </c>
      <c r="I323" s="5">
        <f t="shared" si="38"/>
        <v>3.1896361124873485E-2</v>
      </c>
      <c r="J323" s="5">
        <f t="shared" si="35"/>
        <v>3.5948481787274833E-2</v>
      </c>
      <c r="K323" s="7">
        <f t="shared" si="36"/>
        <v>1.0003022649573978E-4</v>
      </c>
      <c r="M323" s="7">
        <f t="shared" si="39"/>
        <v>9.9999322222377174E-5</v>
      </c>
    </row>
    <row r="324" spans="1:13" x14ac:dyDescent="0.25">
      <c r="A324">
        <f t="shared" si="32"/>
        <v>26.74999999999989</v>
      </c>
      <c r="B324" s="1">
        <v>52505</v>
      </c>
      <c r="C324" s="2">
        <v>679.92549003345266</v>
      </c>
      <c r="D324" s="2">
        <f t="shared" si="33"/>
        <v>1.1463449625379596E-3</v>
      </c>
      <c r="E324" s="5">
        <f t="shared" si="37"/>
        <v>3.1772074494144986E-2</v>
      </c>
      <c r="F324" s="5">
        <f t="shared" si="34"/>
        <v>3.577916307131046E-2</v>
      </c>
      <c r="G324" s="1">
        <v>52505</v>
      </c>
      <c r="H324" s="2">
        <v>681.68408258135571</v>
      </c>
      <c r="I324" s="5">
        <f t="shared" si="38"/>
        <v>3.1872073811923807E-2</v>
      </c>
      <c r="J324" s="5">
        <f t="shared" si="35"/>
        <v>3.5879187763191434E-2</v>
      </c>
      <c r="K324" s="7">
        <f t="shared" si="36"/>
        <v>1.0002469188097329E-4</v>
      </c>
      <c r="M324" s="7">
        <f t="shared" si="39"/>
        <v>9.999931777882054E-5</v>
      </c>
    </row>
    <row r="325" spans="1:13" x14ac:dyDescent="0.25">
      <c r="A325">
        <f t="shared" ref="A325:A388" si="40">A324+1/12</f>
        <v>26.833333333333222</v>
      </c>
      <c r="B325" s="1">
        <v>52536</v>
      </c>
      <c r="C325" s="2">
        <v>680.90180623823073</v>
      </c>
      <c r="D325" s="2">
        <f t="shared" ref="D325:D388" si="41">C325/C324-1</f>
        <v>1.4359164630377563E-3</v>
      </c>
      <c r="E325" s="5">
        <f t="shared" si="37"/>
        <v>3.1747787757334223E-2</v>
      </c>
      <c r="F325" s="5">
        <f t="shared" ref="F325:F388" si="42">(C325/$C$3)^(1/A325)-1</f>
        <v>3.5721472036589486E-2</v>
      </c>
      <c r="G325" s="1">
        <v>52536</v>
      </c>
      <c r="H325" s="2">
        <v>682.66843776093583</v>
      </c>
      <c r="I325" s="5">
        <f t="shared" si="38"/>
        <v>3.1847787070613975E-2</v>
      </c>
      <c r="J325" s="5">
        <f t="shared" ref="J325:J388" si="43">(H325/$H$3)^(1/A325)-1</f>
        <v>3.5821492306491676E-2</v>
      </c>
      <c r="K325" s="7">
        <f t="shared" ref="K325:K388" si="44">J325-F325</f>
        <v>1.0002026990219015E-4</v>
      </c>
      <c r="M325" s="7">
        <f t="shared" si="39"/>
        <v>9.9999313279752755E-5</v>
      </c>
    </row>
    <row r="326" spans="1:13" x14ac:dyDescent="0.25">
      <c r="A326">
        <f t="shared" si="40"/>
        <v>26.916666666666554</v>
      </c>
      <c r="B326" s="1">
        <v>52566</v>
      </c>
      <c r="C326" s="2">
        <v>683.40106889635456</v>
      </c>
      <c r="D326" s="2">
        <f t="shared" si="41"/>
        <v>3.6705184730401186E-3</v>
      </c>
      <c r="E326" s="5">
        <f t="shared" si="37"/>
        <v>3.1723501592205716E-2</v>
      </c>
      <c r="F326" s="5">
        <f t="shared" si="42"/>
        <v>3.5749906105776663E-2</v>
      </c>
      <c r="G326" s="1">
        <v>52566</v>
      </c>
      <c r="H326" s="2">
        <v>685.17971893864888</v>
      </c>
      <c r="I326" s="5">
        <f t="shared" si="38"/>
        <v>3.1823500900931334E-2</v>
      </c>
      <c r="J326" s="5">
        <f t="shared" si="43"/>
        <v>3.5849930263706975E-2</v>
      </c>
      <c r="K326" s="7">
        <f t="shared" si="44"/>
        <v>1.0002415793031183E-4</v>
      </c>
      <c r="M326" s="7">
        <f t="shared" si="39"/>
        <v>9.9999308725617908E-5</v>
      </c>
    </row>
    <row r="327" spans="1:13" x14ac:dyDescent="0.25">
      <c r="A327">
        <f t="shared" si="40"/>
        <v>26.999999999999886</v>
      </c>
      <c r="B327" s="1">
        <v>52597</v>
      </c>
      <c r="C327" s="2">
        <v>680.74024154395954</v>
      </c>
      <c r="D327" s="2">
        <f t="shared" si="41"/>
        <v>-3.8935077416429875E-3</v>
      </c>
      <c r="E327" s="5">
        <f t="shared" si="37"/>
        <v>3.1699215998748365E-2</v>
      </c>
      <c r="F327" s="5">
        <f t="shared" si="42"/>
        <v>3.5487999999999964E-2</v>
      </c>
      <c r="G327" s="1">
        <v>52597</v>
      </c>
      <c r="H327" s="2">
        <v>682.51747896208872</v>
      </c>
      <c r="I327" s="5">
        <f t="shared" si="38"/>
        <v>3.1799215302862338E-2</v>
      </c>
      <c r="J327" s="5">
        <f t="shared" si="43"/>
        <v>3.5588000000000175E-2</v>
      </c>
      <c r="K327" s="7">
        <f t="shared" si="44"/>
        <v>1.0000000000021103E-4</v>
      </c>
      <c r="M327" s="7">
        <f t="shared" si="39"/>
        <v>9.9999304113973508E-5</v>
      </c>
    </row>
    <row r="328" spans="1:13" x14ac:dyDescent="0.25">
      <c r="A328">
        <f t="shared" si="40"/>
        <v>27.083333333333218</v>
      </c>
      <c r="B328" s="1">
        <v>52628</v>
      </c>
      <c r="C328" s="2">
        <v>684.85760554862918</v>
      </c>
      <c r="D328" s="2">
        <f t="shared" si="41"/>
        <v>6.0483628752887597E-3</v>
      </c>
      <c r="E328" s="5">
        <f t="shared" si="37"/>
        <v>3.1674925837482437E-2</v>
      </c>
      <c r="F328" s="5">
        <f t="shared" si="42"/>
        <v>3.560745099151541E-2</v>
      </c>
      <c r="G328" s="1">
        <v>52628</v>
      </c>
      <c r="H328" s="2">
        <v>686.65113985797063</v>
      </c>
      <c r="I328" s="5">
        <f t="shared" si="38"/>
        <v>3.1774925137427301E-2</v>
      </c>
      <c r="J328" s="5">
        <f t="shared" si="43"/>
        <v>3.5707463742284062E-2</v>
      </c>
      <c r="K328" s="7">
        <f t="shared" si="44"/>
        <v>1.0001275076865213E-4</v>
      </c>
      <c r="M328" s="7">
        <f t="shared" si="39"/>
        <v>9.9999299944864006E-5</v>
      </c>
    </row>
    <row r="329" spans="1:13" x14ac:dyDescent="0.25">
      <c r="A329">
        <f t="shared" si="40"/>
        <v>27.166666666666551</v>
      </c>
      <c r="B329" s="1">
        <v>52657</v>
      </c>
      <c r="C329" s="2">
        <v>687.66973870951188</v>
      </c>
      <c r="D329" s="2">
        <f t="shared" si="41"/>
        <v>4.1061574524385858E-3</v>
      </c>
      <c r="E329" s="5">
        <f t="shared" si="37"/>
        <v>3.1650636248100161E-2</v>
      </c>
      <c r="F329" s="5">
        <f t="shared" si="42"/>
        <v>3.5652513090139726E-2</v>
      </c>
      <c r="G329" s="1">
        <v>52657</v>
      </c>
      <c r="H329" s="2">
        <v>689.47620789148652</v>
      </c>
      <c r="I329" s="5">
        <f t="shared" si="38"/>
        <v>3.1750635543820405E-2</v>
      </c>
      <c r="J329" s="5">
        <f t="shared" si="43"/>
        <v>3.5752531400382592E-2</v>
      </c>
      <c r="K329" s="7">
        <f t="shared" si="44"/>
        <v>1.0001831024286645E-4</v>
      </c>
      <c r="M329" s="7">
        <f t="shared" si="39"/>
        <v>9.9999295720243353E-5</v>
      </c>
    </row>
    <row r="330" spans="1:13" x14ac:dyDescent="0.25">
      <c r="A330">
        <f t="shared" si="40"/>
        <v>27.249999999999883</v>
      </c>
      <c r="B330" s="1">
        <v>52688</v>
      </c>
      <c r="C330" s="2">
        <v>692.33437416146205</v>
      </c>
      <c r="D330" s="2">
        <f t="shared" si="41"/>
        <v>6.7832495591617636E-3</v>
      </c>
      <c r="E330" s="5">
        <f t="shared" si="37"/>
        <v>3.1626347230588214E-2</v>
      </c>
      <c r="F330" s="5">
        <f t="shared" si="42"/>
        <v>3.5798504417215549E-2</v>
      </c>
      <c r="G330" s="1">
        <v>52688</v>
      </c>
      <c r="H330" s="2">
        <v>694.15870524338573</v>
      </c>
      <c r="I330" s="5">
        <f t="shared" si="38"/>
        <v>3.172634652202877E-2</v>
      </c>
      <c r="J330" s="5">
        <f t="shared" si="43"/>
        <v>3.5898538027024696E-2</v>
      </c>
      <c r="K330" s="7">
        <f t="shared" si="44"/>
        <v>1.0003360980914699E-4</v>
      </c>
      <c r="M330" s="7">
        <f t="shared" si="39"/>
        <v>9.9999291440555638E-5</v>
      </c>
    </row>
    <row r="331" spans="1:13" x14ac:dyDescent="0.25">
      <c r="A331">
        <f t="shared" si="40"/>
        <v>27.333333333333215</v>
      </c>
      <c r="B331" s="1">
        <v>52718</v>
      </c>
      <c r="C331" s="2">
        <v>694.64180302038301</v>
      </c>
      <c r="D331" s="2">
        <f t="shared" si="41"/>
        <v>3.3328243476509201E-3</v>
      </c>
      <c r="E331" s="5">
        <f t="shared" si="37"/>
        <v>3.1602058784932829E-2</v>
      </c>
      <c r="F331" s="5">
        <f t="shared" si="42"/>
        <v>3.581351969630342E-2</v>
      </c>
      <c r="G331" s="1">
        <v>52718</v>
      </c>
      <c r="H331" s="2">
        <v>696.47784118252298</v>
      </c>
      <c r="I331" s="5">
        <f t="shared" si="38"/>
        <v>3.170205807203863E-2</v>
      </c>
      <c r="J331" s="5">
        <f t="shared" si="43"/>
        <v>3.5913555949360854E-2</v>
      </c>
      <c r="K331" s="7">
        <f t="shared" si="44"/>
        <v>1.0003625305743391E-4</v>
      </c>
      <c r="M331" s="7">
        <f t="shared" si="39"/>
        <v>9.999928710580086E-5</v>
      </c>
    </row>
    <row r="332" spans="1:13" x14ac:dyDescent="0.25">
      <c r="A332">
        <f t="shared" si="40"/>
        <v>27.416666666666547</v>
      </c>
      <c r="B332" s="1">
        <v>52749</v>
      </c>
      <c r="C332" s="2">
        <v>695.64822131802646</v>
      </c>
      <c r="D332" s="2">
        <f t="shared" si="41"/>
        <v>1.4488305962403469E-3</v>
      </c>
      <c r="E332" s="5">
        <f t="shared" si="37"/>
        <v>3.1577770911120906E-2</v>
      </c>
      <c r="F332" s="5">
        <f t="shared" si="42"/>
        <v>3.575743697291478E-2</v>
      </c>
      <c r="G332" s="1">
        <v>52749</v>
      </c>
      <c r="H332" s="2">
        <v>697.49255469155867</v>
      </c>
      <c r="I332" s="5">
        <f t="shared" si="38"/>
        <v>3.1677770193836441E-2</v>
      </c>
      <c r="J332" s="5">
        <f t="shared" si="43"/>
        <v>3.5857468995455166E-2</v>
      </c>
      <c r="K332" s="7">
        <f t="shared" si="44"/>
        <v>1.0003202254038612E-4</v>
      </c>
      <c r="M332" s="7">
        <f t="shared" si="39"/>
        <v>9.9999282715534932E-5</v>
      </c>
    </row>
    <row r="333" spans="1:13" x14ac:dyDescent="0.25">
      <c r="A333">
        <f t="shared" si="40"/>
        <v>27.499999999999879</v>
      </c>
      <c r="B333" s="1">
        <v>52779</v>
      </c>
      <c r="C333" s="2">
        <v>694.8245856156127</v>
      </c>
      <c r="D333" s="2">
        <f t="shared" si="41"/>
        <v>-1.1839830494402293E-3</v>
      </c>
      <c r="E333" s="5">
        <f t="shared" si="37"/>
        <v>3.1553483609138455E-2</v>
      </c>
      <c r="F333" s="5">
        <f t="shared" si="42"/>
        <v>3.5602558259357098E-2</v>
      </c>
      <c r="G333" s="1">
        <v>52779</v>
      </c>
      <c r="H333" s="2">
        <v>696.67236380642657</v>
      </c>
      <c r="I333" s="5">
        <f t="shared" si="38"/>
        <v>3.1653482887408657E-2</v>
      </c>
      <c r="J333" s="5">
        <f t="shared" si="43"/>
        <v>3.5702576502372629E-2</v>
      </c>
      <c r="K333" s="7">
        <f t="shared" si="44"/>
        <v>1.0001824301553164E-4</v>
      </c>
      <c r="M333" s="7">
        <f t="shared" si="39"/>
        <v>9.9999278270201941E-5</v>
      </c>
    </row>
    <row r="334" spans="1:13" x14ac:dyDescent="0.25">
      <c r="A334">
        <f t="shared" si="40"/>
        <v>27.583333333333211</v>
      </c>
      <c r="B334" s="1">
        <v>52810</v>
      </c>
      <c r="C334" s="2">
        <v>697.44880916519719</v>
      </c>
      <c r="D334" s="2">
        <f t="shared" si="41"/>
        <v>3.7768144707479578E-3</v>
      </c>
      <c r="E334" s="5">
        <f t="shared" si="37"/>
        <v>3.1529196878972598E-2</v>
      </c>
      <c r="F334" s="5">
        <f t="shared" si="42"/>
        <v>3.5634637291196425E-2</v>
      </c>
      <c r="G334" s="1">
        <v>52810</v>
      </c>
      <c r="H334" s="2">
        <v>699.30921585151168</v>
      </c>
      <c r="I334" s="5">
        <f t="shared" si="38"/>
        <v>3.1629196152742178E-2</v>
      </c>
      <c r="J334" s="5">
        <f t="shared" si="43"/>
        <v>3.5734659803760449E-2</v>
      </c>
      <c r="K334" s="7">
        <f t="shared" si="44"/>
        <v>1.0002251256402417E-4</v>
      </c>
      <c r="M334" s="7">
        <f t="shared" si="39"/>
        <v>9.9999273769579844E-5</v>
      </c>
    </row>
    <row r="335" spans="1:13" x14ac:dyDescent="0.25">
      <c r="A335">
        <f t="shared" si="40"/>
        <v>27.666666666666544</v>
      </c>
      <c r="B335" s="1">
        <v>52841</v>
      </c>
      <c r="C335" s="2">
        <v>700.54341747596061</v>
      </c>
      <c r="D335" s="2">
        <f t="shared" si="41"/>
        <v>4.4370400667361753E-3</v>
      </c>
      <c r="E335" s="5">
        <f t="shared" si="37"/>
        <v>3.1504910720609569E-2</v>
      </c>
      <c r="F335" s="5">
        <f t="shared" si="42"/>
        <v>3.5691137974163345E-2</v>
      </c>
      <c r="G335" s="1">
        <v>52841</v>
      </c>
      <c r="H335" s="2">
        <v>702.41775375552209</v>
      </c>
      <c r="I335" s="5">
        <f t="shared" si="38"/>
        <v>3.160490998982346E-2</v>
      </c>
      <c r="J335" s="5">
        <f t="shared" si="43"/>
        <v>3.5791167107984023E-2</v>
      </c>
      <c r="K335" s="7">
        <f t="shared" si="44"/>
        <v>1.0002913382067824E-4</v>
      </c>
      <c r="M335" s="7">
        <f t="shared" si="39"/>
        <v>9.9999269213890685E-5</v>
      </c>
    </row>
    <row r="336" spans="1:13" x14ac:dyDescent="0.25">
      <c r="A336">
        <f t="shared" si="40"/>
        <v>27.749999999999876</v>
      </c>
      <c r="B336" s="1">
        <v>52871</v>
      </c>
      <c r="C336" s="2">
        <v>701.32996950427162</v>
      </c>
      <c r="D336" s="2">
        <f t="shared" si="41"/>
        <v>1.122774133179183E-3</v>
      </c>
      <c r="E336" s="5">
        <f t="shared" ref="E336:E399" si="45">C336/C324-1</f>
        <v>3.1480625134036044E-2</v>
      </c>
      <c r="F336" s="5">
        <f t="shared" si="42"/>
        <v>3.56239501155593E-2</v>
      </c>
      <c r="G336" s="1">
        <v>52871</v>
      </c>
      <c r="H336" s="2">
        <v>703.21209155188819</v>
      </c>
      <c r="I336" s="5">
        <f t="shared" ref="I336:I399" si="46">H336/H324-1</f>
        <v>3.1580624398638735E-2</v>
      </c>
      <c r="J336" s="5">
        <f t="shared" si="43"/>
        <v>3.5723973917543228E-2</v>
      </c>
      <c r="K336" s="7">
        <f t="shared" si="44"/>
        <v>1.0002380198392835E-4</v>
      </c>
      <c r="M336" s="7">
        <f t="shared" ref="M336:M399" si="47">I336-E336</f>
        <v>9.9999264602690374E-5</v>
      </c>
    </row>
    <row r="337" spans="1:13" x14ac:dyDescent="0.25">
      <c r="A337">
        <f t="shared" si="40"/>
        <v>27.833333333333208</v>
      </c>
      <c r="B337" s="1">
        <v>52902</v>
      </c>
      <c r="C337" s="2">
        <v>702.32048504306431</v>
      </c>
      <c r="D337" s="2">
        <f t="shared" si="41"/>
        <v>1.4123388160538486E-3</v>
      </c>
      <c r="E337" s="5">
        <f t="shared" si="45"/>
        <v>3.145634011923848E-2</v>
      </c>
      <c r="F337" s="5">
        <f t="shared" si="42"/>
        <v>3.5567928757664014E-2</v>
      </c>
      <c r="G337" s="1">
        <v>52902</v>
      </c>
      <c r="H337" s="2">
        <v>704.21095466637121</v>
      </c>
      <c r="I337" s="5">
        <f t="shared" si="46"/>
        <v>3.1556339379175125E-2</v>
      </c>
      <c r="J337" s="5">
        <f t="shared" si="43"/>
        <v>3.5667948299239915E-2</v>
      </c>
      <c r="K337" s="7">
        <f t="shared" si="44"/>
        <v>1.0001954157590198E-4</v>
      </c>
      <c r="M337" s="7">
        <f t="shared" si="47"/>
        <v>9.9999259936645046E-5</v>
      </c>
    </row>
    <row r="338" spans="1:13" x14ac:dyDescent="0.25">
      <c r="A338">
        <f t="shared" si="40"/>
        <v>27.91666666666654</v>
      </c>
      <c r="B338" s="1">
        <v>52932</v>
      </c>
      <c r="C338" s="2">
        <v>704.88176934308171</v>
      </c>
      <c r="D338" s="2">
        <f t="shared" si="41"/>
        <v>3.6468882149440773E-3</v>
      </c>
      <c r="E338" s="5">
        <f t="shared" si="45"/>
        <v>3.143205567620333E-2</v>
      </c>
      <c r="F338" s="5">
        <f t="shared" si="42"/>
        <v>3.5594925140196132E-2</v>
      </c>
      <c r="G338" s="1">
        <v>52932</v>
      </c>
      <c r="H338" s="2">
        <v>706.7848434741162</v>
      </c>
      <c r="I338" s="5">
        <f t="shared" si="46"/>
        <v>3.1532054931418418E-2</v>
      </c>
      <c r="J338" s="5">
        <f t="shared" si="43"/>
        <v>3.5694948432669626E-2</v>
      </c>
      <c r="K338" s="7">
        <f t="shared" si="44"/>
        <v>1.0002329247349451E-4</v>
      </c>
      <c r="M338" s="7">
        <f t="shared" si="47"/>
        <v>9.9999255215088567E-5</v>
      </c>
    </row>
    <row r="339" spans="1:13" x14ac:dyDescent="0.25">
      <c r="A339">
        <f t="shared" si="40"/>
        <v>27.999999999999872</v>
      </c>
      <c r="B339" s="1">
        <v>52963</v>
      </c>
      <c r="C339" s="2">
        <v>702.12077570879467</v>
      </c>
      <c r="D339" s="2">
        <f t="shared" si="41"/>
        <v>-3.9169599135188138E-3</v>
      </c>
      <c r="E339" s="5">
        <f t="shared" si="45"/>
        <v>3.1407771804914608E-2</v>
      </c>
      <c r="F339" s="5">
        <f t="shared" si="42"/>
        <v>3.5342000000000207E-2</v>
      </c>
      <c r="G339" s="1">
        <v>52963</v>
      </c>
      <c r="H339" s="2">
        <v>704.02208343050563</v>
      </c>
      <c r="I339" s="5">
        <f t="shared" si="46"/>
        <v>3.150777105535707E-2</v>
      </c>
      <c r="J339" s="5">
        <f t="shared" si="43"/>
        <v>3.5442000000000196E-2</v>
      </c>
      <c r="K339" s="7">
        <f t="shared" si="44"/>
        <v>9.9999999999988987E-5</v>
      </c>
      <c r="M339" s="7">
        <f t="shared" si="47"/>
        <v>9.9999250442461829E-5</v>
      </c>
    </row>
    <row r="340" spans="1:13" x14ac:dyDescent="0.25">
      <c r="A340">
        <f t="shared" si="40"/>
        <v>28.083333333333204</v>
      </c>
      <c r="B340" s="1">
        <v>52994</v>
      </c>
      <c r="C340" s="2">
        <v>706.35082282004691</v>
      </c>
      <c r="D340" s="2">
        <f t="shared" si="41"/>
        <v>6.024671620038502E-3</v>
      </c>
      <c r="E340" s="5">
        <f t="shared" si="45"/>
        <v>3.1383483365421405E-2</v>
      </c>
      <c r="F340" s="5">
        <f t="shared" si="42"/>
        <v>3.5456746040885889E-2</v>
      </c>
      <c r="G340" s="1">
        <v>52994</v>
      </c>
      <c r="H340" s="2">
        <v>708.26930907987503</v>
      </c>
      <c r="I340" s="5">
        <f t="shared" si="46"/>
        <v>3.1483482611528224E-2</v>
      </c>
      <c r="J340" s="5">
        <f t="shared" si="43"/>
        <v>3.5556758337595973E-2</v>
      </c>
      <c r="K340" s="7">
        <f t="shared" si="44"/>
        <v>1.000122967100836E-4</v>
      </c>
      <c r="M340" s="7">
        <f t="shared" si="47"/>
        <v>9.9999246106818873E-5</v>
      </c>
    </row>
    <row r="341" spans="1:13" x14ac:dyDescent="0.25">
      <c r="A341">
        <f t="shared" si="40"/>
        <v>28.166666666666536</v>
      </c>
      <c r="B341" s="1">
        <v>53022</v>
      </c>
      <c r="C341" s="2">
        <v>709.23450848368805</v>
      </c>
      <c r="D341" s="2">
        <f t="shared" si="41"/>
        <v>4.0825119338407934E-3</v>
      </c>
      <c r="E341" s="5">
        <f t="shared" si="45"/>
        <v>3.1359195497892456E-2</v>
      </c>
      <c r="F341" s="5">
        <f t="shared" si="42"/>
        <v>3.5499782059198903E-2</v>
      </c>
      <c r="G341" s="1">
        <v>53022</v>
      </c>
      <c r="H341" s="2">
        <v>711.16657418387149</v>
      </c>
      <c r="I341" s="5">
        <f t="shared" si="46"/>
        <v>3.1459194739608343E-2</v>
      </c>
      <c r="J341" s="5">
        <f t="shared" si="43"/>
        <v>3.5599799719321368E-2</v>
      </c>
      <c r="K341" s="7">
        <f t="shared" si="44"/>
        <v>1.0001766012246449E-4</v>
      </c>
      <c r="M341" s="7">
        <f t="shared" si="47"/>
        <v>9.9999241715886811E-5</v>
      </c>
    </row>
    <row r="342" spans="1:13" x14ac:dyDescent="0.25">
      <c r="A342">
        <f t="shared" si="40"/>
        <v>28.249999999999869</v>
      </c>
      <c r="B342" s="1">
        <v>53053</v>
      </c>
      <c r="C342" s="2">
        <v>714.02860822111802</v>
      </c>
      <c r="D342" s="2">
        <f t="shared" si="41"/>
        <v>6.7595409981946464E-3</v>
      </c>
      <c r="E342" s="5">
        <f t="shared" si="45"/>
        <v>3.1334908202313994E-2</v>
      </c>
      <c r="F342" s="5">
        <f t="shared" si="42"/>
        <v>3.5640171688490874E-2</v>
      </c>
      <c r="G342" s="1">
        <v>53053</v>
      </c>
      <c r="H342" s="2">
        <v>715.9795198910931</v>
      </c>
      <c r="I342" s="5">
        <f t="shared" si="46"/>
        <v>3.1434907439584103E-2</v>
      </c>
      <c r="J342" s="5">
        <f t="shared" si="43"/>
        <v>3.5740204108386076E-2</v>
      </c>
      <c r="K342" s="7">
        <f t="shared" si="44"/>
        <v>1.0003241989520184E-4</v>
      </c>
      <c r="M342" s="7">
        <f t="shared" si="47"/>
        <v>9.9999237270109731E-5</v>
      </c>
    </row>
    <row r="343" spans="1:13" x14ac:dyDescent="0.25">
      <c r="A343">
        <f t="shared" si="40"/>
        <v>28.333333333333201</v>
      </c>
      <c r="B343" s="1">
        <v>53083</v>
      </c>
      <c r="C343" s="2">
        <v>716.39146957801722</v>
      </c>
      <c r="D343" s="2">
        <f t="shared" si="41"/>
        <v>3.30919704013799E-3</v>
      </c>
      <c r="E343" s="5">
        <f t="shared" si="45"/>
        <v>3.131062147867314E-2</v>
      </c>
      <c r="F343" s="5">
        <f t="shared" si="42"/>
        <v>3.5654259675192312E-2</v>
      </c>
      <c r="G343" s="1">
        <v>53083</v>
      </c>
      <c r="H343" s="2">
        <v>718.35464248583094</v>
      </c>
      <c r="I343" s="5">
        <f t="shared" si="46"/>
        <v>3.1410620711441739E-2</v>
      </c>
      <c r="J343" s="5">
        <f t="shared" si="43"/>
        <v>3.5754294648514096E-2</v>
      </c>
      <c r="K343" s="7">
        <f t="shared" si="44"/>
        <v>1.0003497332178313E-4</v>
      </c>
      <c r="M343" s="7">
        <f t="shared" si="47"/>
        <v>9.9999232768599455E-5</v>
      </c>
    </row>
    <row r="344" spans="1:13" x14ac:dyDescent="0.25">
      <c r="A344">
        <f t="shared" si="40"/>
        <v>28.416666666666533</v>
      </c>
      <c r="B344" s="1">
        <v>53114</v>
      </c>
      <c r="C344" s="2">
        <v>717.41250483978263</v>
      </c>
      <c r="D344" s="2">
        <f t="shared" si="41"/>
        <v>1.4252476545635329E-3</v>
      </c>
      <c r="E344" s="5">
        <f t="shared" si="45"/>
        <v>3.1286335326955905E-2</v>
      </c>
      <c r="F344" s="5">
        <f t="shared" si="42"/>
        <v>3.5599767573796903E-2</v>
      </c>
      <c r="G344" s="1">
        <v>53114</v>
      </c>
      <c r="H344" s="2">
        <v>719.38428936284663</v>
      </c>
      <c r="I344" s="5">
        <f t="shared" si="46"/>
        <v>3.1386334555167927E-2</v>
      </c>
      <c r="J344" s="5">
        <f t="shared" si="43"/>
        <v>3.5699798469278621E-2</v>
      </c>
      <c r="K344" s="7">
        <f t="shared" si="44"/>
        <v>1.0003089548171751E-4</v>
      </c>
      <c r="M344" s="7">
        <f t="shared" si="47"/>
        <v>9.9999228212022118E-5</v>
      </c>
    </row>
    <row r="345" spans="1:13" x14ac:dyDescent="0.25">
      <c r="A345">
        <f t="shared" si="40"/>
        <v>28.499999999999865</v>
      </c>
      <c r="B345" s="1">
        <v>53144</v>
      </c>
      <c r="C345" s="2">
        <v>716.54622637667012</v>
      </c>
      <c r="D345" s="2">
        <f t="shared" si="41"/>
        <v>-1.207503991453196E-3</v>
      </c>
      <c r="E345" s="5">
        <f t="shared" si="45"/>
        <v>3.1262049747148968E-2</v>
      </c>
      <c r="F345" s="5">
        <f t="shared" si="42"/>
        <v>3.5449950902212146E-2</v>
      </c>
      <c r="G345" s="1">
        <v>53144</v>
      </c>
      <c r="H345" s="2">
        <v>718.52143659669116</v>
      </c>
      <c r="I345" s="5">
        <f t="shared" si="46"/>
        <v>3.1362048970748901E-2</v>
      </c>
      <c r="J345" s="5">
        <f t="shared" si="43"/>
        <v>3.5549968505074192E-2</v>
      </c>
      <c r="K345" s="7">
        <f t="shared" si="44"/>
        <v>1.0001760286204586E-4</v>
      </c>
      <c r="M345" s="7">
        <f t="shared" si="47"/>
        <v>9.9999223599933629E-5</v>
      </c>
    </row>
    <row r="346" spans="1:13" x14ac:dyDescent="0.25">
      <c r="A346">
        <f t="shared" si="40"/>
        <v>28.583333333333197</v>
      </c>
      <c r="B346" s="1">
        <v>53175</v>
      </c>
      <c r="C346" s="2">
        <v>719.23555098356178</v>
      </c>
      <c r="D346" s="2">
        <f t="shared" si="41"/>
        <v>3.7531767077898515E-3</v>
      </c>
      <c r="E346" s="5">
        <f t="shared" si="45"/>
        <v>3.123776473923856E-2</v>
      </c>
      <c r="F346" s="5">
        <f t="shared" si="42"/>
        <v>3.5480494849900568E-2</v>
      </c>
      <c r="G346" s="1">
        <v>53175</v>
      </c>
      <c r="H346" s="2">
        <v>721.22400299164065</v>
      </c>
      <c r="I346" s="5">
        <f t="shared" si="46"/>
        <v>3.1337763958172005E-2</v>
      </c>
      <c r="J346" s="5">
        <f t="shared" si="43"/>
        <v>3.5580516574775789E-2</v>
      </c>
      <c r="K346" s="7">
        <f t="shared" si="44"/>
        <v>1.000217248752211E-4</v>
      </c>
      <c r="M346" s="7">
        <f t="shared" si="47"/>
        <v>9.9999218933444212E-5</v>
      </c>
    </row>
    <row r="347" spans="1:13" x14ac:dyDescent="0.25">
      <c r="A347">
        <f t="shared" si="40"/>
        <v>28.666666666666529</v>
      </c>
      <c r="B347" s="1">
        <v>53206</v>
      </c>
      <c r="C347" s="2">
        <v>722.40981563889113</v>
      </c>
      <c r="D347" s="2">
        <f t="shared" si="41"/>
        <v>4.4133867562421436E-3</v>
      </c>
      <c r="E347" s="5">
        <f t="shared" si="45"/>
        <v>3.1213480303211805E-2</v>
      </c>
      <c r="F347" s="5">
        <f t="shared" si="42"/>
        <v>3.5534613818042793E-2</v>
      </c>
      <c r="G347" s="1">
        <v>53206</v>
      </c>
      <c r="H347" s="2">
        <v>724.41289770041976</v>
      </c>
      <c r="I347" s="5">
        <f t="shared" si="46"/>
        <v>3.1313479517422804E-2</v>
      </c>
      <c r="J347" s="5">
        <f t="shared" si="43"/>
        <v>3.5634641935432088E-2</v>
      </c>
      <c r="K347" s="7">
        <f t="shared" si="44"/>
        <v>1.0002811738929474E-4</v>
      </c>
      <c r="M347" s="7">
        <f t="shared" si="47"/>
        <v>9.9999214210999554E-5</v>
      </c>
    </row>
    <row r="348" spans="1:13" x14ac:dyDescent="0.25">
      <c r="A348">
        <f t="shared" si="40"/>
        <v>28.749999999999861</v>
      </c>
      <c r="B348" s="1">
        <v>53236</v>
      </c>
      <c r="C348" s="2">
        <v>723.20388769173655</v>
      </c>
      <c r="D348" s="2">
        <f t="shared" si="41"/>
        <v>1.0991988697484079E-3</v>
      </c>
      <c r="E348" s="5">
        <f t="shared" si="45"/>
        <v>3.1189196439054712E-2</v>
      </c>
      <c r="F348" s="5">
        <f t="shared" si="42"/>
        <v>3.5469378134376006E-2</v>
      </c>
      <c r="G348" s="1">
        <v>53236</v>
      </c>
      <c r="H348" s="2">
        <v>725.21503226683808</v>
      </c>
      <c r="I348" s="5">
        <f t="shared" si="46"/>
        <v>3.1289195648488644E-2</v>
      </c>
      <c r="J348" s="5">
        <f t="shared" si="43"/>
        <v>3.5569401108376475E-2</v>
      </c>
      <c r="K348" s="7">
        <f t="shared" si="44"/>
        <v>1.0002297400046878E-4</v>
      </c>
      <c r="M348" s="7">
        <f t="shared" si="47"/>
        <v>9.9999209433931924E-5</v>
      </c>
    </row>
    <row r="349" spans="1:13" x14ac:dyDescent="0.25">
      <c r="A349">
        <f t="shared" si="40"/>
        <v>28.833333333333194</v>
      </c>
      <c r="B349" s="1">
        <v>53267</v>
      </c>
      <c r="C349" s="2">
        <v>724.20824196061767</v>
      </c>
      <c r="D349" s="2">
        <f t="shared" si="41"/>
        <v>1.3887567337154128E-3</v>
      </c>
      <c r="E349" s="5">
        <f t="shared" si="45"/>
        <v>3.1164913146754181E-2</v>
      </c>
      <c r="F349" s="5">
        <f t="shared" si="42"/>
        <v>3.5414908761113306E-2</v>
      </c>
      <c r="G349" s="1">
        <v>53267</v>
      </c>
      <c r="H349" s="2">
        <v>726.22804844087955</v>
      </c>
      <c r="I349" s="5">
        <f t="shared" si="46"/>
        <v>3.1264912351355312E-2</v>
      </c>
      <c r="J349" s="5">
        <f t="shared" si="43"/>
        <v>3.5514927624887616E-2</v>
      </c>
      <c r="K349" s="7">
        <f t="shared" si="44"/>
        <v>1.0001886377430935E-4</v>
      </c>
      <c r="M349" s="7">
        <f t="shared" si="47"/>
        <v>9.9999204601131098E-5</v>
      </c>
    </row>
    <row r="350" spans="1:13" x14ac:dyDescent="0.25">
      <c r="A350">
        <f t="shared" si="40"/>
        <v>28.916666666666526</v>
      </c>
      <c r="B350" s="1">
        <v>53297</v>
      </c>
      <c r="C350" s="2">
        <v>726.83223201642863</v>
      </c>
      <c r="D350" s="2">
        <f t="shared" si="41"/>
        <v>3.6232535115965359E-3</v>
      </c>
      <c r="E350" s="5">
        <f t="shared" si="45"/>
        <v>3.1140630426296445E-2</v>
      </c>
      <c r="F350" s="5">
        <f t="shared" si="42"/>
        <v>3.5440565406208879E-2</v>
      </c>
      <c r="G350" s="1">
        <v>53297</v>
      </c>
      <c r="H350" s="2">
        <v>728.86524699436859</v>
      </c>
      <c r="I350" s="5">
        <f t="shared" si="46"/>
        <v>3.1240629626010152E-2</v>
      </c>
      <c r="J350" s="5">
        <f t="shared" si="43"/>
        <v>3.5540587893091002E-2</v>
      </c>
      <c r="K350" s="7">
        <f t="shared" si="44"/>
        <v>1.0002248688212312E-4</v>
      </c>
      <c r="M350" s="7">
        <f t="shared" si="47"/>
        <v>9.9999199713707299E-5</v>
      </c>
    </row>
    <row r="351" spans="1:13" x14ac:dyDescent="0.25">
      <c r="A351">
        <f t="shared" si="40"/>
        <v>28.999999999999858</v>
      </c>
      <c r="B351" s="1">
        <v>53328</v>
      </c>
      <c r="C351" s="2">
        <v>723.96821029873763</v>
      </c>
      <c r="D351" s="2">
        <f t="shared" si="41"/>
        <v>-3.9404164971404976E-3</v>
      </c>
      <c r="E351" s="5">
        <f t="shared" si="45"/>
        <v>3.1116348277670403E-2</v>
      </c>
      <c r="F351" s="5">
        <f t="shared" si="42"/>
        <v>3.5196000000000227E-2</v>
      </c>
      <c r="G351" s="1">
        <v>53328</v>
      </c>
      <c r="H351" s="2">
        <v>725.99908141514277</v>
      </c>
      <c r="I351" s="5">
        <f t="shared" si="46"/>
        <v>3.1216347472438954E-2</v>
      </c>
      <c r="J351" s="5">
        <f t="shared" si="43"/>
        <v>3.5296000000000216E-2</v>
      </c>
      <c r="K351" s="7">
        <f t="shared" si="44"/>
        <v>9.9999999999988987E-5</v>
      </c>
      <c r="M351" s="7">
        <f t="shared" si="47"/>
        <v>9.9999194768551902E-5</v>
      </c>
    </row>
    <row r="352" spans="1:13" x14ac:dyDescent="0.25">
      <c r="A352">
        <f t="shared" si="40"/>
        <v>29.08333333333319</v>
      </c>
      <c r="B352" s="1">
        <v>53359</v>
      </c>
      <c r="C352" s="2">
        <v>728.31272608643155</v>
      </c>
      <c r="D352" s="2">
        <f t="shared" si="41"/>
        <v>6.000975907355377E-3</v>
      </c>
      <c r="E352" s="5">
        <f t="shared" si="45"/>
        <v>3.1092061560434647E-2</v>
      </c>
      <c r="F352" s="5">
        <f t="shared" si="42"/>
        <v>3.5306364659010159E-2</v>
      </c>
      <c r="G352" s="1">
        <v>53359</v>
      </c>
      <c r="H352" s="2">
        <v>730.36168839655147</v>
      </c>
      <c r="I352" s="5">
        <f t="shared" si="46"/>
        <v>3.1192060750701023E-2</v>
      </c>
      <c r="J352" s="5">
        <f t="shared" si="43"/>
        <v>3.5406376532888251E-2</v>
      </c>
      <c r="K352" s="7">
        <f t="shared" si="44"/>
        <v>1.0001187387809196E-4</v>
      </c>
      <c r="M352" s="7">
        <f t="shared" si="47"/>
        <v>9.9999190266375493E-5</v>
      </c>
    </row>
    <row r="353" spans="1:13" x14ac:dyDescent="0.25">
      <c r="A353">
        <f t="shared" si="40"/>
        <v>29.166666666666522</v>
      </c>
      <c r="B353" s="1">
        <v>53387</v>
      </c>
      <c r="C353" s="2">
        <v>731.26884691000009</v>
      </c>
      <c r="D353" s="2">
        <f t="shared" si="41"/>
        <v>4.0588619664154724E-3</v>
      </c>
      <c r="E353" s="5">
        <f t="shared" si="45"/>
        <v>3.1067775415243748E-2</v>
      </c>
      <c r="F353" s="5">
        <f t="shared" si="42"/>
        <v>3.5347512623851607E-2</v>
      </c>
      <c r="G353" s="1">
        <v>53387</v>
      </c>
      <c r="H353" s="2">
        <v>733.33205367176583</v>
      </c>
      <c r="I353" s="5">
        <f t="shared" si="46"/>
        <v>3.1167774600952214E-2</v>
      </c>
      <c r="J353" s="5">
        <f t="shared" si="43"/>
        <v>3.5447529678437339E-2</v>
      </c>
      <c r="K353" s="7">
        <f t="shared" si="44"/>
        <v>1.0001705458573262E-4</v>
      </c>
      <c r="M353" s="7">
        <f t="shared" si="47"/>
        <v>9.9999185708465888E-5</v>
      </c>
    </row>
    <row r="354" spans="1:13" x14ac:dyDescent="0.25">
      <c r="A354">
        <f t="shared" si="40"/>
        <v>29.249999999999854</v>
      </c>
      <c r="B354" s="1">
        <v>53418</v>
      </c>
      <c r="C354" s="2">
        <v>736.1945480673877</v>
      </c>
      <c r="D354" s="2">
        <f t="shared" si="41"/>
        <v>6.7358279765388218E-3</v>
      </c>
      <c r="E354" s="5">
        <f t="shared" si="45"/>
        <v>3.1043489842083938E-2</v>
      </c>
      <c r="F354" s="5">
        <f t="shared" si="42"/>
        <v>3.5482682354866846E-2</v>
      </c>
      <c r="G354" s="1">
        <v>53418</v>
      </c>
      <c r="H354" s="2">
        <v>738.27762020964281</v>
      </c>
      <c r="I354" s="5">
        <f t="shared" si="46"/>
        <v>3.1143489023179649E-2</v>
      </c>
      <c r="J354" s="5">
        <f t="shared" si="43"/>
        <v>3.5582713666222343E-2</v>
      </c>
      <c r="K354" s="7">
        <f t="shared" si="44"/>
        <v>1.0003131135549737E-4</v>
      </c>
      <c r="M354" s="7">
        <f t="shared" si="47"/>
        <v>9.9999181095711265E-5</v>
      </c>
    </row>
    <row r="355" spans="1:13" x14ac:dyDescent="0.25">
      <c r="A355">
        <f t="shared" si="40"/>
        <v>29.333333333333186</v>
      </c>
      <c r="B355" s="1">
        <v>53448</v>
      </c>
      <c r="C355" s="2">
        <v>738.61336331916141</v>
      </c>
      <c r="D355" s="2">
        <f t="shared" si="41"/>
        <v>3.2855652872239016E-3</v>
      </c>
      <c r="E355" s="5">
        <f t="shared" si="45"/>
        <v>3.1019204840942338E-2</v>
      </c>
      <c r="F355" s="5">
        <f t="shared" si="42"/>
        <v>3.549590389860402E-2</v>
      </c>
      <c r="G355" s="1">
        <v>53448</v>
      </c>
      <c r="H355" s="2">
        <v>740.70926716217207</v>
      </c>
      <c r="I355" s="5">
        <f t="shared" si="46"/>
        <v>3.1119204017369562E-2</v>
      </c>
      <c r="J355" s="5">
        <f t="shared" si="43"/>
        <v>3.5595937679459677E-2</v>
      </c>
      <c r="K355" s="7">
        <f t="shared" si="44"/>
        <v>1.0003378085565728E-4</v>
      </c>
      <c r="M355" s="7">
        <f t="shared" si="47"/>
        <v>9.9999176427223446E-5</v>
      </c>
    </row>
    <row r="356" spans="1:13" x14ac:dyDescent="0.25">
      <c r="A356">
        <f t="shared" si="40"/>
        <v>29.416666666666519</v>
      </c>
      <c r="B356" s="1">
        <v>53479</v>
      </c>
      <c r="C356" s="2">
        <v>739.64864832972501</v>
      </c>
      <c r="D356" s="2">
        <f t="shared" si="41"/>
        <v>1.4016602758326613E-3</v>
      </c>
      <c r="E356" s="5">
        <f t="shared" si="45"/>
        <v>3.0994920411804516E-2</v>
      </c>
      <c r="F356" s="5">
        <f t="shared" si="42"/>
        <v>3.544289167947734E-2</v>
      </c>
      <c r="G356" s="1">
        <v>53479</v>
      </c>
      <c r="H356" s="2">
        <v>741.75348599022368</v>
      </c>
      <c r="I356" s="5">
        <f t="shared" si="46"/>
        <v>3.1094919583508407E-2</v>
      </c>
      <c r="J356" s="5">
        <f t="shared" si="43"/>
        <v>3.5542921524539306E-2</v>
      </c>
      <c r="K356" s="7">
        <f t="shared" si="44"/>
        <v>1.0002984506196633E-4</v>
      </c>
      <c r="M356" s="7">
        <f t="shared" si="47"/>
        <v>9.999917170389061E-5</v>
      </c>
    </row>
    <row r="357" spans="1:13" x14ac:dyDescent="0.25">
      <c r="A357">
        <f t="shared" si="40"/>
        <v>29.499999999999851</v>
      </c>
      <c r="B357" s="1">
        <v>53509</v>
      </c>
      <c r="C357" s="2">
        <v>738.73811912839346</v>
      </c>
      <c r="D357" s="2">
        <f t="shared" si="41"/>
        <v>-1.2310293588553289E-3</v>
      </c>
      <c r="E357" s="5">
        <f t="shared" si="45"/>
        <v>3.0970636554657816E-2</v>
      </c>
      <c r="F357" s="5">
        <f t="shared" si="42"/>
        <v>3.5297791539278478E-2</v>
      </c>
      <c r="G357" s="1">
        <v>53509</v>
      </c>
      <c r="H357" s="2">
        <v>740.84635441133537</v>
      </c>
      <c r="I357" s="5">
        <f t="shared" si="46"/>
        <v>3.1070635721582862E-2</v>
      </c>
      <c r="J357" s="5">
        <f t="shared" si="43"/>
        <v>3.5397808545391207E-2</v>
      </c>
      <c r="K357" s="7">
        <f t="shared" si="44"/>
        <v>1.0001700611272923E-4</v>
      </c>
      <c r="M357" s="7">
        <f t="shared" si="47"/>
        <v>9.9999166925046623E-5</v>
      </c>
    </row>
    <row r="358" spans="1:13" x14ac:dyDescent="0.25">
      <c r="A358">
        <f t="shared" si="40"/>
        <v>29.583333333333183</v>
      </c>
      <c r="B358" s="1">
        <v>53540</v>
      </c>
      <c r="C358" s="2">
        <v>741.49326842827406</v>
      </c>
      <c r="D358" s="2">
        <f t="shared" si="41"/>
        <v>3.7295344974634936E-3</v>
      </c>
      <c r="E358" s="5">
        <f t="shared" si="45"/>
        <v>3.0946353269488247E-2</v>
      </c>
      <c r="F358" s="5">
        <f t="shared" si="42"/>
        <v>3.5326902940934213E-2</v>
      </c>
      <c r="G358" s="1">
        <v>53540</v>
      </c>
      <c r="H358" s="2">
        <v>743.61537757063343</v>
      </c>
      <c r="I358" s="5">
        <f t="shared" si="46"/>
        <v>3.1046352431579161E-2</v>
      </c>
      <c r="J358" s="5">
        <f t="shared" si="43"/>
        <v>3.5426923931378695E-2</v>
      </c>
      <c r="K358" s="7">
        <f t="shared" si="44"/>
        <v>1.0002099044448265E-4</v>
      </c>
      <c r="M358" s="7">
        <f t="shared" si="47"/>
        <v>9.9999162090913529E-5</v>
      </c>
    </row>
    <row r="359" spans="1:13" x14ac:dyDescent="0.25">
      <c r="A359">
        <f t="shared" si="40"/>
        <v>29.666666666666515</v>
      </c>
      <c r="B359" s="1">
        <v>53571</v>
      </c>
      <c r="C359" s="2">
        <v>744.74822292862814</v>
      </c>
      <c r="D359" s="2">
        <f t="shared" si="41"/>
        <v>4.3897289954546448E-3</v>
      </c>
      <c r="E359" s="5">
        <f t="shared" si="45"/>
        <v>3.092207055628271E-2</v>
      </c>
      <c r="F359" s="5">
        <f t="shared" si="42"/>
        <v>3.5378799251566839E-2</v>
      </c>
      <c r="G359" s="1">
        <v>53571</v>
      </c>
      <c r="H359" s="2">
        <v>746.88568511422932</v>
      </c>
      <c r="I359" s="5">
        <f t="shared" si="46"/>
        <v>3.1022069713484202E-2</v>
      </c>
      <c r="J359" s="5">
        <f t="shared" si="43"/>
        <v>3.5478826421057708E-2</v>
      </c>
      <c r="K359" s="7">
        <f t="shared" si="44"/>
        <v>1.0002716949086832E-4</v>
      </c>
      <c r="M359" s="7">
        <f t="shared" si="47"/>
        <v>9.9999157201491329E-5</v>
      </c>
    </row>
    <row r="360" spans="1:13" x14ac:dyDescent="0.25">
      <c r="A360">
        <f t="shared" si="40"/>
        <v>29.749999999999847</v>
      </c>
      <c r="B360" s="1">
        <v>53601</v>
      </c>
      <c r="C360" s="2">
        <v>745.54928839456124</v>
      </c>
      <c r="D360" s="2">
        <f t="shared" si="41"/>
        <v>1.0756191707084195E-3</v>
      </c>
      <c r="E360" s="5">
        <f t="shared" si="45"/>
        <v>3.089778841502766E-2</v>
      </c>
      <c r="F360" s="5">
        <f t="shared" si="42"/>
        <v>3.5315382484524704E-2</v>
      </c>
      <c r="G360" s="1">
        <v>53601</v>
      </c>
      <c r="H360" s="2">
        <v>747.69509377764678</v>
      </c>
      <c r="I360" s="5">
        <f t="shared" si="46"/>
        <v>3.0997787567284218E-2</v>
      </c>
      <c r="J360" s="5">
        <f t="shared" si="43"/>
        <v>3.5415404686210294E-2</v>
      </c>
      <c r="K360" s="7">
        <f t="shared" si="44"/>
        <v>1.0002220168559006E-4</v>
      </c>
      <c r="M360" s="7">
        <f t="shared" si="47"/>
        <v>9.9999152256557977E-5</v>
      </c>
    </row>
    <row r="361" spans="1:13" x14ac:dyDescent="0.25">
      <c r="A361">
        <f t="shared" si="40"/>
        <v>29.833333333333179</v>
      </c>
      <c r="B361" s="1">
        <v>53632</v>
      </c>
      <c r="C361" s="2">
        <v>746.56709007650795</v>
      </c>
      <c r="D361" s="2">
        <f t="shared" si="41"/>
        <v>1.365170214485012E-3</v>
      </c>
      <c r="E361" s="5">
        <f t="shared" si="45"/>
        <v>3.0873506845709331E-2</v>
      </c>
      <c r="F361" s="5">
        <f t="shared" si="42"/>
        <v>3.5262359421584399E-2</v>
      </c>
      <c r="G361" s="1">
        <v>53632</v>
      </c>
      <c r="H361" s="2">
        <v>748.72187725152332</v>
      </c>
      <c r="I361" s="5">
        <f t="shared" si="46"/>
        <v>3.0973505992966333E-2</v>
      </c>
      <c r="J361" s="5">
        <f t="shared" si="43"/>
        <v>3.5362377653000543E-2</v>
      </c>
      <c r="K361" s="7">
        <f t="shared" si="44"/>
        <v>1.0001823141614352E-4</v>
      </c>
      <c r="M361" s="7">
        <f t="shared" si="47"/>
        <v>9.9999147257001653E-5</v>
      </c>
    </row>
    <row r="362" spans="1:13" x14ac:dyDescent="0.25">
      <c r="A362">
        <f t="shared" si="40"/>
        <v>29.916666666666512</v>
      </c>
      <c r="B362" s="1">
        <v>53662</v>
      </c>
      <c r="C362" s="2">
        <v>749.25444369573802</v>
      </c>
      <c r="D362" s="2">
        <f t="shared" si="41"/>
        <v>3.5996143614562826E-3</v>
      </c>
      <c r="E362" s="5">
        <f t="shared" si="45"/>
        <v>3.0849225848314621E-2</v>
      </c>
      <c r="F362" s="5">
        <f t="shared" si="42"/>
        <v>3.528676460085256E-2</v>
      </c>
      <c r="G362" s="1">
        <v>53662</v>
      </c>
      <c r="H362" s="2">
        <v>751.42306151136552</v>
      </c>
      <c r="I362" s="5">
        <f t="shared" si="46"/>
        <v>3.0949224990516333E-2</v>
      </c>
      <c r="J362" s="5">
        <f t="shared" si="43"/>
        <v>3.5386786336004894E-2</v>
      </c>
      <c r="K362" s="7">
        <f t="shared" si="44"/>
        <v>1.0002173515233359E-4</v>
      </c>
      <c r="M362" s="7">
        <f t="shared" si="47"/>
        <v>9.9999142201712132E-5</v>
      </c>
    </row>
    <row r="363" spans="1:13" x14ac:dyDescent="0.25">
      <c r="A363">
        <f t="shared" si="40"/>
        <v>29.999999999999844</v>
      </c>
      <c r="B363" s="1">
        <v>53693</v>
      </c>
      <c r="C363" s="2">
        <v>746.2844908690588</v>
      </c>
      <c r="D363" s="2">
        <f t="shared" si="41"/>
        <v>-3.9638774940455868E-3</v>
      </c>
      <c r="E363" s="5">
        <f t="shared" si="45"/>
        <v>3.0824945422828209E-2</v>
      </c>
      <c r="F363" s="5">
        <f t="shared" si="42"/>
        <v>3.5050000000000248E-2</v>
      </c>
      <c r="G363" s="1">
        <v>53693</v>
      </c>
      <c r="H363" s="2">
        <v>748.45056275845957</v>
      </c>
      <c r="I363" s="5">
        <f t="shared" si="46"/>
        <v>3.0924944559920897E-2</v>
      </c>
      <c r="J363" s="5">
        <f t="shared" si="43"/>
        <v>3.5150000000000237E-2</v>
      </c>
      <c r="K363" s="7">
        <f t="shared" si="44"/>
        <v>9.9999999999988987E-5</v>
      </c>
      <c r="M363" s="7">
        <f t="shared" si="47"/>
        <v>9.9999137092687818E-5</v>
      </c>
    </row>
    <row r="364" spans="1:13" x14ac:dyDescent="0.25">
      <c r="A364">
        <f t="shared" si="40"/>
        <v>30.083333333333176</v>
      </c>
      <c r="B364" s="1">
        <v>53724</v>
      </c>
      <c r="C364" s="2">
        <v>750.82207605649717</v>
      </c>
      <c r="D364" s="2">
        <f t="shared" si="41"/>
        <v>6.0802351421698209E-3</v>
      </c>
      <c r="E364" s="5">
        <f t="shared" si="45"/>
        <v>3.0906160449809761E-2</v>
      </c>
      <c r="F364" s="5">
        <f t="shared" si="42"/>
        <v>3.5159796146900568E-2</v>
      </c>
      <c r="G364" s="1">
        <v>53724</v>
      </c>
      <c r="H364" s="2">
        <v>753.0073994890613</v>
      </c>
      <c r="I364" s="5">
        <f t="shared" si="46"/>
        <v>3.1006159622401164E-2</v>
      </c>
      <c r="J364" s="5">
        <f t="shared" si="43"/>
        <v>3.5259807626021322E-2</v>
      </c>
      <c r="K364" s="7">
        <f t="shared" si="44"/>
        <v>1.0001147912075403E-4</v>
      </c>
      <c r="M364" s="7">
        <f t="shared" si="47"/>
        <v>9.9999172591402896E-5</v>
      </c>
    </row>
    <row r="365" spans="1:13" x14ac:dyDescent="0.25">
      <c r="A365">
        <f t="shared" si="40"/>
        <v>30.166666666666508</v>
      </c>
      <c r="B365" s="1">
        <v>53752</v>
      </c>
      <c r="C365" s="2">
        <v>753.92895392280866</v>
      </c>
      <c r="D365" s="2">
        <f t="shared" si="41"/>
        <v>4.1379681889877062E-3</v>
      </c>
      <c r="E365" s="5">
        <f t="shared" si="45"/>
        <v>3.0987381875434039E-2</v>
      </c>
      <c r="F365" s="5">
        <f t="shared" si="42"/>
        <v>3.5202682838920696E-2</v>
      </c>
      <c r="G365" s="1">
        <v>53752</v>
      </c>
      <c r="H365" s="2">
        <v>756.12942668457219</v>
      </c>
      <c r="I365" s="5">
        <f t="shared" si="46"/>
        <v>3.1087381082908871E-2</v>
      </c>
      <c r="J365" s="5">
        <f t="shared" si="43"/>
        <v>3.5302699328050968E-2</v>
      </c>
      <c r="K365" s="7">
        <f t="shared" si="44"/>
        <v>1.0001648913027239E-4</v>
      </c>
      <c r="M365" s="7">
        <f t="shared" si="47"/>
        <v>9.9999207474832374E-5</v>
      </c>
    </row>
    <row r="366" spans="1:13" x14ac:dyDescent="0.25">
      <c r="A366">
        <f t="shared" si="40"/>
        <v>30.24999999999984</v>
      </c>
      <c r="B366" s="1">
        <v>53783</v>
      </c>
      <c r="C366" s="2">
        <v>759.06708914471255</v>
      </c>
      <c r="D366" s="2">
        <f t="shared" si="41"/>
        <v>6.8151451077311798E-3</v>
      </c>
      <c r="E366" s="5">
        <f t="shared" si="45"/>
        <v>3.1068609700205529E-2</v>
      </c>
      <c r="F366" s="5">
        <f t="shared" si="42"/>
        <v>3.5336461021400867E-2</v>
      </c>
      <c r="G366" s="1">
        <v>53783</v>
      </c>
      <c r="H366" s="2">
        <v>761.28870664454951</v>
      </c>
      <c r="I366" s="5">
        <f t="shared" si="46"/>
        <v>3.1168608941948506E-2</v>
      </c>
      <c r="J366" s="5">
        <f t="shared" si="43"/>
        <v>3.5436491297428319E-2</v>
      </c>
      <c r="K366" s="7">
        <f t="shared" si="44"/>
        <v>1.0003027602745185E-4</v>
      </c>
      <c r="M366" s="7">
        <f t="shared" si="47"/>
        <v>9.9999241742976253E-5</v>
      </c>
    </row>
    <row r="367" spans="1:13" x14ac:dyDescent="0.25">
      <c r="A367">
        <f t="shared" si="40"/>
        <v>30.333333333333172</v>
      </c>
      <c r="B367" s="1">
        <v>53813</v>
      </c>
      <c r="C367" s="2">
        <v>761.62105430719771</v>
      </c>
      <c r="D367" s="2">
        <f t="shared" si="41"/>
        <v>3.3646105845042129E-3</v>
      </c>
      <c r="E367" s="5">
        <f t="shared" si="45"/>
        <v>3.1149843924627829E-2</v>
      </c>
      <c r="F367" s="5">
        <f t="shared" si="42"/>
        <v>3.5352335633828558E-2</v>
      </c>
      <c r="G367" s="1">
        <v>53813</v>
      </c>
      <c r="H367" s="2">
        <v>763.85631561779439</v>
      </c>
      <c r="I367" s="5">
        <f t="shared" si="46"/>
        <v>3.1249843200023664E-2</v>
      </c>
      <c r="J367" s="5">
        <f t="shared" si="43"/>
        <v>3.5452368300747494E-2</v>
      </c>
      <c r="K367" s="7">
        <f t="shared" si="44"/>
        <v>1.0003266691893664E-4</v>
      </c>
      <c r="M367" s="7">
        <f t="shared" si="47"/>
        <v>9.999927539583453E-5</v>
      </c>
    </row>
    <row r="368" spans="1:13" x14ac:dyDescent="0.25">
      <c r="A368">
        <f t="shared" si="40"/>
        <v>30.416666666666504</v>
      </c>
      <c r="B368" s="1">
        <v>53844</v>
      </c>
      <c r="C368" s="2">
        <v>762.7486778024163</v>
      </c>
      <c r="D368" s="2">
        <f t="shared" si="41"/>
        <v>1.4805571469453938E-3</v>
      </c>
      <c r="E368" s="5">
        <f t="shared" si="45"/>
        <v>3.1231084549205645E-2</v>
      </c>
      <c r="F368" s="5">
        <f t="shared" si="42"/>
        <v>3.5304148214595932E-2</v>
      </c>
      <c r="G368" s="1">
        <v>53844</v>
      </c>
      <c r="H368" s="2">
        <v>764.99342666147948</v>
      </c>
      <c r="I368" s="5">
        <f t="shared" si="46"/>
        <v>3.1331083857639053E-2</v>
      </c>
      <c r="J368" s="5">
        <f t="shared" si="43"/>
        <v>3.5404177078199428E-2</v>
      </c>
      <c r="K368" s="7">
        <f t="shared" si="44"/>
        <v>1.0002886360349628E-4</v>
      </c>
      <c r="M368" s="7">
        <f t="shared" si="47"/>
        <v>9.9999308433407208E-5</v>
      </c>
    </row>
    <row r="369" spans="1:13" x14ac:dyDescent="0.25">
      <c r="A369">
        <f t="shared" si="40"/>
        <v>30.499999999999837</v>
      </c>
      <c r="B369" s="1">
        <v>53874</v>
      </c>
      <c r="C369" s="2">
        <v>761.86973206122184</v>
      </c>
      <c r="D369" s="2">
        <f t="shared" si="41"/>
        <v>-1.1523399079849117E-3</v>
      </c>
      <c r="E369" s="5">
        <f t="shared" si="45"/>
        <v>3.1312331574442576E-2</v>
      </c>
      <c r="F369" s="5">
        <f t="shared" si="42"/>
        <v>3.5166876837493311E-2</v>
      </c>
      <c r="G369" s="1">
        <v>53874</v>
      </c>
      <c r="H369" s="2">
        <v>764.11806525349664</v>
      </c>
      <c r="I369" s="5">
        <f t="shared" si="46"/>
        <v>3.141233091529827E-2</v>
      </c>
      <c r="J369" s="5">
        <f t="shared" si="43"/>
        <v>3.526689328587107E-2</v>
      </c>
      <c r="K369" s="7">
        <f t="shared" si="44"/>
        <v>1.0001644837775991E-4</v>
      </c>
      <c r="M369" s="7">
        <f t="shared" si="47"/>
        <v>9.9999340855694285E-5</v>
      </c>
    </row>
    <row r="370" spans="1:13" x14ac:dyDescent="0.25">
      <c r="A370">
        <f t="shared" si="40"/>
        <v>30.583333333333169</v>
      </c>
      <c r="B370" s="1">
        <v>53905</v>
      </c>
      <c r="C370" s="2">
        <v>764.7714003782304</v>
      </c>
      <c r="D370" s="2">
        <f t="shared" si="41"/>
        <v>3.8086147734970321E-3</v>
      </c>
      <c r="E370" s="5">
        <f t="shared" si="45"/>
        <v>3.1393585000843549E-2</v>
      </c>
      <c r="F370" s="5">
        <f t="shared" si="42"/>
        <v>3.5198056186378501E-2</v>
      </c>
      <c r="G370" s="1">
        <v>53905</v>
      </c>
      <c r="H370" s="2">
        <v>767.03449120559071</v>
      </c>
      <c r="I370" s="5">
        <f t="shared" si="46"/>
        <v>3.1493584373506023E-2</v>
      </c>
      <c r="J370" s="5">
        <f t="shared" si="43"/>
        <v>3.5298076490309471E-2</v>
      </c>
      <c r="K370" s="7">
        <f t="shared" si="44"/>
        <v>1.0002030393096994E-4</v>
      </c>
      <c r="M370" s="7">
        <f t="shared" si="47"/>
        <v>9.9999372662473718E-5</v>
      </c>
    </row>
    <row r="371" spans="1:13" x14ac:dyDescent="0.25">
      <c r="A371">
        <f t="shared" si="40"/>
        <v>30.666666666666501</v>
      </c>
      <c r="B371" s="1">
        <v>53936</v>
      </c>
      <c r="C371" s="2">
        <v>768.18905768191507</v>
      </c>
      <c r="D371" s="2">
        <f t="shared" si="41"/>
        <v>4.4688612858618804E-3</v>
      </c>
      <c r="E371" s="5">
        <f t="shared" si="45"/>
        <v>3.1474844828912607E-2</v>
      </c>
      <c r="F371" s="5">
        <f t="shared" si="42"/>
        <v>3.5251263639047625E-2</v>
      </c>
      <c r="G371" s="1">
        <v>53936</v>
      </c>
      <c r="H371" s="2">
        <v>770.46848428139401</v>
      </c>
      <c r="I371" s="5">
        <f t="shared" si="46"/>
        <v>3.1574844232766353E-2</v>
      </c>
      <c r="J371" s="5">
        <f t="shared" si="43"/>
        <v>3.5351289922362472E-2</v>
      </c>
      <c r="K371" s="7">
        <f t="shared" si="44"/>
        <v>1.0002628331484686E-4</v>
      </c>
      <c r="M371" s="7">
        <f t="shared" si="47"/>
        <v>9.9999403853745505E-5</v>
      </c>
    </row>
    <row r="372" spans="1:13" x14ac:dyDescent="0.25">
      <c r="A372">
        <f t="shared" si="40"/>
        <v>30.749999999999833</v>
      </c>
      <c r="B372" s="1">
        <v>53966</v>
      </c>
      <c r="C372" s="2">
        <v>769.07592453921325</v>
      </c>
      <c r="D372" s="2">
        <f t="shared" si="41"/>
        <v>1.1544903542031193E-3</v>
      </c>
      <c r="E372" s="5">
        <f t="shared" si="45"/>
        <v>3.1556111059154013E-2</v>
      </c>
      <c r="F372" s="5">
        <f t="shared" si="42"/>
        <v>3.5192914508202167E-2</v>
      </c>
      <c r="G372" s="1">
        <v>53966</v>
      </c>
      <c r="H372" s="2">
        <v>771.3642122817821</v>
      </c>
      <c r="I372" s="5">
        <f t="shared" si="46"/>
        <v>3.16561104935833E-2</v>
      </c>
      <c r="J372" s="5">
        <f t="shared" si="43"/>
        <v>3.5292935987722096E-2</v>
      </c>
      <c r="K372" s="7">
        <f t="shared" si="44"/>
        <v>1.0002147951992946E-4</v>
      </c>
      <c r="M372" s="7">
        <f t="shared" si="47"/>
        <v>9.9999434429287604E-5</v>
      </c>
    </row>
    <row r="373" spans="1:13" x14ac:dyDescent="0.25">
      <c r="A373">
        <f t="shared" si="40"/>
        <v>30.833333333333165</v>
      </c>
      <c r="B373" s="1">
        <v>53997</v>
      </c>
      <c r="C373" s="2">
        <v>770.18651955713244</v>
      </c>
      <c r="D373" s="2">
        <f t="shared" si="41"/>
        <v>1.4440642106754442E-3</v>
      </c>
      <c r="E373" s="5">
        <f t="shared" si="45"/>
        <v>3.1637383692072474E-2</v>
      </c>
      <c r="F373" s="5">
        <f t="shared" si="42"/>
        <v>3.5144593027897741E-2</v>
      </c>
      <c r="G373" s="1">
        <v>53997</v>
      </c>
      <c r="H373" s="2">
        <v>772.4843503474799</v>
      </c>
      <c r="I373" s="5">
        <f t="shared" si="46"/>
        <v>3.1737383156461352E-2</v>
      </c>
      <c r="J373" s="5">
        <f t="shared" si="43"/>
        <v>3.5244610667911846E-2</v>
      </c>
      <c r="K373" s="7">
        <f t="shared" si="44"/>
        <v>1.0001764001410507E-4</v>
      </c>
      <c r="M373" s="7">
        <f t="shared" si="47"/>
        <v>9.9999464388877968E-5</v>
      </c>
    </row>
    <row r="374" spans="1:13" x14ac:dyDescent="0.25">
      <c r="A374">
        <f t="shared" si="40"/>
        <v>30.916666666666497</v>
      </c>
      <c r="B374" s="1">
        <v>54027</v>
      </c>
      <c r="C374" s="2">
        <v>773.01979269290734</v>
      </c>
      <c r="D374" s="2">
        <f t="shared" si="41"/>
        <v>3.6786844015448406E-3</v>
      </c>
      <c r="E374" s="5">
        <f t="shared" si="45"/>
        <v>3.1718662728172031E-2</v>
      </c>
      <c r="F374" s="5">
        <f t="shared" si="42"/>
        <v>3.5171161414301322E-2</v>
      </c>
      <c r="G374" s="1">
        <v>54027</v>
      </c>
      <c r="H374" s="2">
        <v>775.33233809134526</v>
      </c>
      <c r="I374" s="5">
        <f t="shared" si="46"/>
        <v>3.181866222190477E-2</v>
      </c>
      <c r="J374" s="5">
        <f t="shared" si="43"/>
        <v>3.5271182446322991E-2</v>
      </c>
      <c r="K374" s="7">
        <f t="shared" si="44"/>
        <v>1.0002103202166879E-4</v>
      </c>
      <c r="M374" s="7">
        <f t="shared" si="47"/>
        <v>9.9999493732738642E-5</v>
      </c>
    </row>
    <row r="375" spans="1:13" x14ac:dyDescent="0.25">
      <c r="A375">
        <f t="shared" si="40"/>
        <v>30.999999999999829</v>
      </c>
      <c r="B375" s="1">
        <v>54058</v>
      </c>
      <c r="C375" s="2">
        <v>770.01629899724776</v>
      </c>
      <c r="D375" s="2">
        <f t="shared" si="41"/>
        <v>-3.8854033545461242E-3</v>
      </c>
      <c r="E375" s="5">
        <f t="shared" si="45"/>
        <v>3.1799948167960723E-2</v>
      </c>
      <c r="F375" s="5">
        <f t="shared" si="42"/>
        <v>3.4945000000000226E-2</v>
      </c>
      <c r="G375" s="1">
        <v>54058</v>
      </c>
      <c r="H375" s="2">
        <v>772.32609655931719</v>
      </c>
      <c r="I375" s="5">
        <f t="shared" si="46"/>
        <v>3.1899947690416486E-2</v>
      </c>
      <c r="J375" s="5">
        <f t="shared" si="43"/>
        <v>3.5045000000000215E-2</v>
      </c>
      <c r="K375" s="7">
        <f t="shared" si="44"/>
        <v>9.9999999999988987E-5</v>
      </c>
      <c r="M375" s="7">
        <f t="shared" si="47"/>
        <v>9.9999522455762602E-5</v>
      </c>
    </row>
    <row r="376" spans="1:13" x14ac:dyDescent="0.25">
      <c r="A376">
        <f t="shared" si="40"/>
        <v>31.083333333333162</v>
      </c>
      <c r="B376" s="1">
        <v>54089</v>
      </c>
      <c r="C376" s="2">
        <v>774.68505921240092</v>
      </c>
      <c r="D376" s="2">
        <f t="shared" si="41"/>
        <v>6.0631966118549485E-3</v>
      </c>
      <c r="E376" s="5">
        <f t="shared" si="45"/>
        <v>3.1782474059950383E-2</v>
      </c>
      <c r="F376" s="5">
        <f t="shared" si="42"/>
        <v>3.5050970440092533E-2</v>
      </c>
      <c r="G376" s="1">
        <v>54089</v>
      </c>
      <c r="H376" s="2">
        <v>777.01513800874375</v>
      </c>
      <c r="I376" s="5">
        <f t="shared" si="46"/>
        <v>3.1882473579904369E-2</v>
      </c>
      <c r="J376" s="5">
        <f t="shared" si="43"/>
        <v>3.515098154989249E-2</v>
      </c>
      <c r="K376" s="7">
        <f t="shared" si="44"/>
        <v>1.0001110979995786E-4</v>
      </c>
      <c r="M376" s="7">
        <f t="shared" si="47"/>
        <v>9.9999519953986038E-5</v>
      </c>
    </row>
    <row r="377" spans="1:13" x14ac:dyDescent="0.25">
      <c r="A377">
        <f t="shared" si="40"/>
        <v>31.166666666666494</v>
      </c>
      <c r="B377" s="1">
        <v>54118</v>
      </c>
      <c r="C377" s="2">
        <v>777.8775073310461</v>
      </c>
      <c r="D377" s="2">
        <f t="shared" si="41"/>
        <v>4.1209625520477466E-3</v>
      </c>
      <c r="E377" s="5">
        <f t="shared" si="45"/>
        <v>3.1765000247873987E-2</v>
      </c>
      <c r="F377" s="5">
        <f t="shared" si="42"/>
        <v>3.5092205210729421E-2</v>
      </c>
      <c r="G377" s="1">
        <v>54118</v>
      </c>
      <c r="H377" s="2">
        <v>780.22349068841049</v>
      </c>
      <c r="I377" s="5">
        <f t="shared" si="46"/>
        <v>3.186499976529733E-2</v>
      </c>
      <c r="J377" s="5">
        <f t="shared" si="43"/>
        <v>3.519222117075671E-2</v>
      </c>
      <c r="K377" s="7">
        <f t="shared" si="44"/>
        <v>1.0001596002728874E-4</v>
      </c>
      <c r="M377" s="7">
        <f t="shared" si="47"/>
        <v>9.9999517423343676E-5</v>
      </c>
    </row>
    <row r="378" spans="1:13" x14ac:dyDescent="0.25">
      <c r="A378">
        <f t="shared" si="40"/>
        <v>31.249999999999826</v>
      </c>
      <c r="B378" s="1">
        <v>54149</v>
      </c>
      <c r="C378" s="2">
        <v>783.16559184850814</v>
      </c>
      <c r="D378" s="2">
        <f t="shared" si="41"/>
        <v>6.7980941313059429E-3</v>
      </c>
      <c r="E378" s="5">
        <f t="shared" si="45"/>
        <v>3.1747526731726428E-2</v>
      </c>
      <c r="F378" s="5">
        <f t="shared" si="42"/>
        <v>3.5221422001199931E-2</v>
      </c>
      <c r="G378" s="1">
        <v>54149</v>
      </c>
      <c r="H378" s="2">
        <v>785.5338687106447</v>
      </c>
      <c r="I378" s="5">
        <f t="shared" si="46"/>
        <v>3.1847526246590485E-2</v>
      </c>
      <c r="J378" s="5">
        <f t="shared" si="43"/>
        <v>3.5321451308255813E-2</v>
      </c>
      <c r="K378" s="7">
        <f t="shared" si="44"/>
        <v>1.000293070558822E-4</v>
      </c>
      <c r="M378" s="7">
        <f t="shared" si="47"/>
        <v>9.9999514864057559E-5</v>
      </c>
    </row>
    <row r="379" spans="1:13" x14ac:dyDescent="0.25">
      <c r="A379">
        <f t="shared" si="40"/>
        <v>31.333333333333158</v>
      </c>
      <c r="B379" s="1">
        <v>54179</v>
      </c>
      <c r="C379" s="2">
        <v>785.78733111585211</v>
      </c>
      <c r="D379" s="2">
        <f t="shared" si="41"/>
        <v>3.3476180448068771E-3</v>
      </c>
      <c r="E379" s="5">
        <f t="shared" si="45"/>
        <v>3.1730053511502598E-2</v>
      </c>
      <c r="F379" s="5">
        <f t="shared" si="42"/>
        <v>3.523653466150245E-2</v>
      </c>
      <c r="G379" s="1">
        <v>54179</v>
      </c>
      <c r="H379" s="2">
        <v>788.16990264645733</v>
      </c>
      <c r="I379" s="5">
        <f t="shared" si="46"/>
        <v>3.183005302377917E-2</v>
      </c>
      <c r="J379" s="5">
        <f t="shared" si="43"/>
        <v>3.5336566285698812E-2</v>
      </c>
      <c r="K379" s="7">
        <f t="shared" si="44"/>
        <v>1.0003162419636169E-4</v>
      </c>
      <c r="M379" s="7">
        <f t="shared" si="47"/>
        <v>9.9999512276571778E-5</v>
      </c>
    </row>
    <row r="380" spans="1:13" x14ac:dyDescent="0.25">
      <c r="A380">
        <f t="shared" si="40"/>
        <v>31.41666666666649</v>
      </c>
      <c r="B380" s="1">
        <v>54210</v>
      </c>
      <c r="C380" s="2">
        <v>786.93740671500359</v>
      </c>
      <c r="D380" s="2">
        <f t="shared" si="41"/>
        <v>1.4635965147444807E-3</v>
      </c>
      <c r="E380" s="5">
        <f t="shared" si="45"/>
        <v>3.171258058719717E-2</v>
      </c>
      <c r="F380" s="5">
        <f t="shared" si="42"/>
        <v>3.5189635339085257E-2</v>
      </c>
      <c r="G380" s="1">
        <v>54210</v>
      </c>
      <c r="H380" s="2">
        <v>789.32984132071738</v>
      </c>
      <c r="I380" s="5">
        <f t="shared" si="46"/>
        <v>3.1812580096857612E-2</v>
      </c>
      <c r="J380" s="5">
        <f t="shared" si="43"/>
        <v>3.5289663283829098E-2</v>
      </c>
      <c r="K380" s="7">
        <f t="shared" si="44"/>
        <v>1.0002794474384125E-4</v>
      </c>
      <c r="M380" s="7">
        <f t="shared" si="47"/>
        <v>9.9999509660442243E-5</v>
      </c>
    </row>
    <row r="381" spans="1:13" x14ac:dyDescent="0.25">
      <c r="A381">
        <f t="shared" si="40"/>
        <v>31.499999999999822</v>
      </c>
      <c r="B381" s="1">
        <v>54240</v>
      </c>
      <c r="C381" s="2">
        <v>786.0172754694488</v>
      </c>
      <c r="D381" s="2">
        <f t="shared" si="41"/>
        <v>-1.1692559506044642E-3</v>
      </c>
      <c r="E381" s="5">
        <f t="shared" si="45"/>
        <v>3.1695107958805924E-2</v>
      </c>
      <c r="F381" s="5">
        <f t="shared" si="42"/>
        <v>3.5056482604294281E-2</v>
      </c>
      <c r="G381" s="1">
        <v>54240</v>
      </c>
      <c r="H381" s="2">
        <v>788.41328125480709</v>
      </c>
      <c r="I381" s="5">
        <f t="shared" si="46"/>
        <v>3.1795107465821371E-2</v>
      </c>
      <c r="J381" s="5">
        <f t="shared" si="43"/>
        <v>3.5156498530463764E-2</v>
      </c>
      <c r="K381" s="7">
        <f t="shared" si="44"/>
        <v>1.0001592616948329E-4</v>
      </c>
      <c r="M381" s="7">
        <f t="shared" si="47"/>
        <v>9.9999507015446909E-5</v>
      </c>
    </row>
    <row r="382" spans="1:13" x14ac:dyDescent="0.25">
      <c r="A382">
        <f t="shared" si="40"/>
        <v>31.583333333333155</v>
      </c>
      <c r="B382" s="1">
        <v>54271</v>
      </c>
      <c r="C382" s="2">
        <v>788.99755013684501</v>
      </c>
      <c r="D382" s="2">
        <f t="shared" si="41"/>
        <v>3.791614714341085E-3</v>
      </c>
      <c r="E382" s="5">
        <f t="shared" si="45"/>
        <v>3.1677635626323308E-2</v>
      </c>
      <c r="F382" s="5">
        <f t="shared" si="42"/>
        <v>3.5086407743686543E-2</v>
      </c>
      <c r="G382" s="1">
        <v>54271</v>
      </c>
      <c r="H382" s="2">
        <v>791.40903339975739</v>
      </c>
      <c r="I382" s="5">
        <f t="shared" si="46"/>
        <v>3.1777635130665116E-2</v>
      </c>
      <c r="J382" s="5">
        <f t="shared" si="43"/>
        <v>3.518642740468958E-2</v>
      </c>
      <c r="K382" s="7">
        <f t="shared" si="44"/>
        <v>1.0001966100303683E-4</v>
      </c>
      <c r="M382" s="7">
        <f t="shared" si="47"/>
        <v>9.9999504341807821E-5</v>
      </c>
    </row>
    <row r="383" spans="1:13" x14ac:dyDescent="0.25">
      <c r="A383">
        <f t="shared" si="40"/>
        <v>31.666666666666487</v>
      </c>
      <c r="B383" s="1">
        <v>54302</v>
      </c>
      <c r="C383" s="2">
        <v>792.51004891597609</v>
      </c>
      <c r="D383" s="2">
        <f t="shared" si="41"/>
        <v>4.4518500450627663E-3</v>
      </c>
      <c r="E383" s="5">
        <f t="shared" si="45"/>
        <v>3.1660163589744439E-2</v>
      </c>
      <c r="F383" s="5">
        <f t="shared" si="42"/>
        <v>3.5137669568571894E-2</v>
      </c>
      <c r="G383" s="1">
        <v>54302</v>
      </c>
      <c r="H383" s="2">
        <v>794.93868899894267</v>
      </c>
      <c r="I383" s="5">
        <f t="shared" si="46"/>
        <v>3.1760163091384186E-2</v>
      </c>
      <c r="J383" s="5">
        <f t="shared" si="43"/>
        <v>3.5237695021785198E-2</v>
      </c>
      <c r="K383" s="7">
        <f t="shared" si="44"/>
        <v>1.0002545321330381E-4</v>
      </c>
      <c r="M383" s="7">
        <f t="shared" si="47"/>
        <v>9.9999501639747024E-5</v>
      </c>
    </row>
    <row r="384" spans="1:13" x14ac:dyDescent="0.25">
      <c r="A384">
        <f t="shared" si="40"/>
        <v>31.749999999999819</v>
      </c>
      <c r="B384" s="1">
        <v>54332</v>
      </c>
      <c r="C384" s="2">
        <v>793.41155702794174</v>
      </c>
      <c r="D384" s="2">
        <f t="shared" si="41"/>
        <v>1.1375352441256315E-3</v>
      </c>
      <c r="E384" s="5">
        <f t="shared" si="45"/>
        <v>3.1642691849064208E-2</v>
      </c>
      <c r="F384" s="5">
        <f t="shared" si="42"/>
        <v>3.5080910350315353E-2</v>
      </c>
      <c r="G384" s="1">
        <v>54332</v>
      </c>
      <c r="H384" s="2">
        <v>795.84938838911523</v>
      </c>
      <c r="I384" s="5">
        <f t="shared" si="46"/>
        <v>3.1742691347973251E-2</v>
      </c>
      <c r="J384" s="5">
        <f t="shared" si="43"/>
        <v>3.5180931153247386E-2</v>
      </c>
      <c r="K384" s="7">
        <f t="shared" si="44"/>
        <v>1.0002080293203264E-4</v>
      </c>
      <c r="M384" s="7">
        <f t="shared" si="47"/>
        <v>9.9999498909042472E-5</v>
      </c>
    </row>
    <row r="385" spans="1:13" x14ac:dyDescent="0.25">
      <c r="A385">
        <f t="shared" si="40"/>
        <v>31.833333333333151</v>
      </c>
      <c r="B385" s="1">
        <v>54363</v>
      </c>
      <c r="C385" s="2">
        <v>794.54383799053028</v>
      </c>
      <c r="D385" s="2">
        <f t="shared" si="41"/>
        <v>1.4271041965030484E-3</v>
      </c>
      <c r="E385" s="5">
        <f t="shared" si="45"/>
        <v>3.1625220404277732E-2</v>
      </c>
      <c r="F385" s="5">
        <f t="shared" si="42"/>
        <v>3.5033854377329421E-2</v>
      </c>
      <c r="G385" s="1">
        <v>54363</v>
      </c>
      <c r="H385" s="2">
        <v>796.99158623189248</v>
      </c>
      <c r="I385" s="5">
        <f t="shared" si="46"/>
        <v>3.1725219900427426E-2</v>
      </c>
      <c r="J385" s="5">
        <f t="shared" si="43"/>
        <v>3.5133871463161936E-2</v>
      </c>
      <c r="K385" s="7">
        <f t="shared" si="44"/>
        <v>1.0001708583251556E-4</v>
      </c>
      <c r="M385" s="7">
        <f t="shared" si="47"/>
        <v>9.9999496149694167E-5</v>
      </c>
    </row>
    <row r="386" spans="1:13" x14ac:dyDescent="0.25">
      <c r="A386">
        <f t="shared" si="40"/>
        <v>31.916666666666483</v>
      </c>
      <c r="B386" s="1">
        <v>54393</v>
      </c>
      <c r="C386" s="2">
        <v>797.45320846979052</v>
      </c>
      <c r="D386" s="2">
        <f t="shared" si="41"/>
        <v>3.6616865428322765E-3</v>
      </c>
      <c r="E386" s="5">
        <f t="shared" si="45"/>
        <v>3.1607749255379902E-2</v>
      </c>
      <c r="F386" s="5">
        <f t="shared" si="42"/>
        <v>3.5059327471023805E-2</v>
      </c>
      <c r="G386" s="1">
        <v>54393</v>
      </c>
      <c r="H386" s="2">
        <v>799.91638106431992</v>
      </c>
      <c r="I386" s="5">
        <f t="shared" si="46"/>
        <v>3.1707748748741382E-2</v>
      </c>
      <c r="J386" s="5">
        <f t="shared" si="43"/>
        <v>3.5159347844012645E-2</v>
      </c>
      <c r="K386" s="7">
        <f t="shared" si="44"/>
        <v>1.0002037298884048E-4</v>
      </c>
      <c r="M386" s="7">
        <f t="shared" si="47"/>
        <v>9.9999493361480063E-5</v>
      </c>
    </row>
    <row r="387" spans="1:13" x14ac:dyDescent="0.25">
      <c r="A387">
        <f t="shared" si="40"/>
        <v>31.999999999999815</v>
      </c>
      <c r="B387" s="1">
        <v>54424</v>
      </c>
      <c r="C387" s="2">
        <v>794.34132825692836</v>
      </c>
      <c r="D387" s="2">
        <f t="shared" si="41"/>
        <v>-3.9022731112129394E-3</v>
      </c>
      <c r="E387" s="5">
        <f t="shared" si="45"/>
        <v>3.1590278402363392E-2</v>
      </c>
      <c r="F387" s="5">
        <f t="shared" si="42"/>
        <v>3.4840000000000204E-2</v>
      </c>
      <c r="G387" s="1">
        <v>54424</v>
      </c>
      <c r="H387" s="2">
        <v>796.80132518322898</v>
      </c>
      <c r="I387" s="5">
        <f t="shared" si="46"/>
        <v>3.1690277892910679E-2</v>
      </c>
      <c r="J387" s="5">
        <f t="shared" si="43"/>
        <v>3.4940000000000193E-2</v>
      </c>
      <c r="K387" s="7">
        <f t="shared" si="44"/>
        <v>9.9999999999988987E-5</v>
      </c>
      <c r="M387" s="7">
        <f t="shared" si="47"/>
        <v>9.999949054728674E-5</v>
      </c>
    </row>
    <row r="388" spans="1:13" x14ac:dyDescent="0.25">
      <c r="A388">
        <f t="shared" si="40"/>
        <v>32.083333333333151</v>
      </c>
      <c r="B388" s="1">
        <v>54455</v>
      </c>
      <c r="C388" s="2">
        <v>799.14403966648433</v>
      </c>
      <c r="D388" s="2">
        <f t="shared" si="41"/>
        <v>6.0461557754962758E-3</v>
      </c>
      <c r="E388" s="5">
        <f t="shared" si="45"/>
        <v>3.1572805184793662E-2</v>
      </c>
      <c r="F388" s="5">
        <f t="shared" si="42"/>
        <v>3.4942383231706398E-2</v>
      </c>
      <c r="G388" s="1">
        <v>54455</v>
      </c>
      <c r="H388" s="2">
        <v>801.62538670266702</v>
      </c>
      <c r="I388" s="5">
        <f t="shared" si="46"/>
        <v>3.1672804672753241E-2</v>
      </c>
      <c r="J388" s="5">
        <f t="shared" si="43"/>
        <v>3.5042393995209364E-2</v>
      </c>
      <c r="K388" s="7">
        <f t="shared" si="44"/>
        <v>1.0001076350296678E-4</v>
      </c>
      <c r="M388" s="7">
        <f t="shared" si="47"/>
        <v>9.9999487959578914E-5</v>
      </c>
    </row>
    <row r="389" spans="1:13" x14ac:dyDescent="0.25">
      <c r="A389">
        <f t="shared" ref="A389:A452" si="48">A388+1/12</f>
        <v>32.166666666666487</v>
      </c>
      <c r="B389" s="1">
        <v>54483</v>
      </c>
      <c r="C389" s="2">
        <v>802.42369053493735</v>
      </c>
      <c r="D389" s="2">
        <f t="shared" ref="D389:D452" si="49">C389/C388-1</f>
        <v>4.103954613515981E-3</v>
      </c>
      <c r="E389" s="5">
        <f t="shared" si="45"/>
        <v>3.155533226318763E-2</v>
      </c>
      <c r="F389" s="5">
        <f t="shared" ref="F389:F452" si="50">(C389/$C$3)^(1/A389)-1</f>
        <v>3.498206818670857E-2</v>
      </c>
      <c r="G389" s="1">
        <v>54483</v>
      </c>
      <c r="H389" s="2">
        <v>804.92172412414891</v>
      </c>
      <c r="I389" s="5">
        <f t="shared" si="46"/>
        <v>3.1655331748530857E-2</v>
      </c>
      <c r="J389" s="5">
        <f t="shared" ref="J389:J452" si="51">(H389/$H$3)^(1/A389)-1</f>
        <v>3.5082083650533225E-2</v>
      </c>
      <c r="K389" s="7">
        <f t="shared" ref="K389:K452" si="52">J389-F389</f>
        <v>1.000154638246542E-4</v>
      </c>
      <c r="M389" s="7">
        <f t="shared" si="47"/>
        <v>9.9999485343227335E-5</v>
      </c>
    </row>
    <row r="390" spans="1:13" x14ac:dyDescent="0.25">
      <c r="A390">
        <f t="shared" si="48"/>
        <v>32.249999999999822</v>
      </c>
      <c r="B390" s="1">
        <v>54514</v>
      </c>
      <c r="C390" s="2">
        <v>807.86495835717744</v>
      </c>
      <c r="D390" s="2">
        <f t="shared" si="49"/>
        <v>6.7810408471522532E-3</v>
      </c>
      <c r="E390" s="5">
        <f t="shared" si="45"/>
        <v>3.1537859637540189E-2</v>
      </c>
      <c r="F390" s="5">
        <f t="shared" si="50"/>
        <v>3.5107005644092526E-2</v>
      </c>
      <c r="G390" s="1">
        <v>54514</v>
      </c>
      <c r="H390" s="2">
        <v>810.38647858308821</v>
      </c>
      <c r="I390" s="5">
        <f t="shared" si="46"/>
        <v>3.1637859120238865E-2</v>
      </c>
      <c r="J390" s="5">
        <f t="shared" si="51"/>
        <v>3.5207034042276542E-2</v>
      </c>
      <c r="K390" s="7">
        <f t="shared" si="52"/>
        <v>1.0002839818401554E-4</v>
      </c>
      <c r="M390" s="7">
        <f t="shared" si="47"/>
        <v>9.999948269867609E-5</v>
      </c>
    </row>
    <row r="391" spans="1:13" x14ac:dyDescent="0.25">
      <c r="A391">
        <f t="shared" si="48"/>
        <v>32.333333333333158</v>
      </c>
      <c r="B391" s="1">
        <v>54544</v>
      </c>
      <c r="C391" s="2">
        <v>810.55565213422278</v>
      </c>
      <c r="D391" s="2">
        <f t="shared" si="49"/>
        <v>3.3306232052903173E-3</v>
      </c>
      <c r="E391" s="5">
        <f t="shared" si="45"/>
        <v>3.1520387307846454E-2</v>
      </c>
      <c r="F391" s="5">
        <f t="shared" si="50"/>
        <v>3.5121401892673987E-2</v>
      </c>
      <c r="G391" s="1">
        <v>54544</v>
      </c>
      <c r="H391" s="2">
        <v>813.09213982269739</v>
      </c>
      <c r="I391" s="5">
        <f t="shared" si="46"/>
        <v>3.1620386787871491E-2</v>
      </c>
      <c r="J391" s="5">
        <f t="shared" si="51"/>
        <v>3.5221432538656172E-2</v>
      </c>
      <c r="K391" s="7">
        <f t="shared" si="52"/>
        <v>1.0003064598218536E-4</v>
      </c>
      <c r="M391" s="7">
        <f t="shared" si="47"/>
        <v>9.9999480025037002E-5</v>
      </c>
    </row>
    <row r="392" spans="1:13" x14ac:dyDescent="0.25">
      <c r="A392">
        <f t="shared" si="48"/>
        <v>32.416666666666494</v>
      </c>
      <c r="B392" s="1">
        <v>54575</v>
      </c>
      <c r="C392" s="2">
        <v>811.72822916476764</v>
      </c>
      <c r="D392" s="2">
        <f t="shared" si="49"/>
        <v>1.4466335870428892E-3</v>
      </c>
      <c r="E392" s="5">
        <f t="shared" si="45"/>
        <v>3.1502915274101762E-2</v>
      </c>
      <c r="F392" s="5">
        <f t="shared" si="50"/>
        <v>3.5075709455435922E-2</v>
      </c>
      <c r="G392" s="1">
        <v>54575</v>
      </c>
      <c r="H392" s="2">
        <v>814.27496500673146</v>
      </c>
      <c r="I392" s="5">
        <f t="shared" si="46"/>
        <v>3.1602914751424516E-2</v>
      </c>
      <c r="J392" s="5">
        <f t="shared" si="51"/>
        <v>3.517573653801831E-2</v>
      </c>
      <c r="K392" s="7">
        <f t="shared" si="52"/>
        <v>1.0002708258238791E-4</v>
      </c>
      <c r="M392" s="7">
        <f t="shared" si="47"/>
        <v>9.999947732275416E-5</v>
      </c>
    </row>
    <row r="393" spans="1:13" x14ac:dyDescent="0.25">
      <c r="A393">
        <f t="shared" si="48"/>
        <v>32.499999999999829</v>
      </c>
      <c r="B393" s="1">
        <v>54605</v>
      </c>
      <c r="C393" s="2">
        <v>810.76537801479878</v>
      </c>
      <c r="D393" s="2">
        <f t="shared" si="49"/>
        <v>-1.1861742826901889E-3</v>
      </c>
      <c r="E393" s="5">
        <f t="shared" si="45"/>
        <v>3.1485443536300339E-2</v>
      </c>
      <c r="F393" s="5">
        <f t="shared" si="50"/>
        <v>3.4946420349387886E-2</v>
      </c>
      <c r="G393" s="1">
        <v>54605</v>
      </c>
      <c r="H393" s="2">
        <v>813.31566401891166</v>
      </c>
      <c r="I393" s="5">
        <f t="shared" si="46"/>
        <v>3.1585443010892611E-2</v>
      </c>
      <c r="J393" s="5">
        <f t="shared" si="51"/>
        <v>3.5046435785487606E-2</v>
      </c>
      <c r="K393" s="7">
        <f t="shared" si="52"/>
        <v>1.0001543609972074E-4</v>
      </c>
      <c r="M393" s="7">
        <f t="shared" si="47"/>
        <v>9.9999474592271653E-5</v>
      </c>
    </row>
    <row r="394" spans="1:13" x14ac:dyDescent="0.25">
      <c r="A394">
        <f t="shared" si="48"/>
        <v>32.583333333333165</v>
      </c>
      <c r="B394" s="1">
        <v>54636</v>
      </c>
      <c r="C394" s="2">
        <v>813.82570302713111</v>
      </c>
      <c r="D394" s="2">
        <f t="shared" si="49"/>
        <v>3.7746123543480614E-3</v>
      </c>
      <c r="E394" s="5">
        <f t="shared" si="45"/>
        <v>3.1467972094437968E-2</v>
      </c>
      <c r="F394" s="5">
        <f t="shared" si="50"/>
        <v>3.4975167428268339E-2</v>
      </c>
      <c r="G394" s="1">
        <v>54636</v>
      </c>
      <c r="H394" s="2">
        <v>816.3922112634109</v>
      </c>
      <c r="I394" s="5">
        <f t="shared" si="46"/>
        <v>3.1567971566270892E-2</v>
      </c>
      <c r="J394" s="5">
        <f t="shared" si="51"/>
        <v>3.5075186485810983E-2</v>
      </c>
      <c r="K394" s="7">
        <f t="shared" si="52"/>
        <v>1.0001905754264406E-4</v>
      </c>
      <c r="M394" s="7">
        <f t="shared" si="47"/>
        <v>9.9999471832923348E-5</v>
      </c>
    </row>
    <row r="395" spans="1:13" x14ac:dyDescent="0.25">
      <c r="A395">
        <f t="shared" si="48"/>
        <v>32.666666666666501</v>
      </c>
      <c r="B395" s="1">
        <v>54667</v>
      </c>
      <c r="C395" s="2">
        <v>817.43488696111092</v>
      </c>
      <c r="D395" s="2">
        <f t="shared" si="49"/>
        <v>4.4348365019131197E-3</v>
      </c>
      <c r="E395" s="5">
        <f t="shared" si="45"/>
        <v>3.1450500948509097E-2</v>
      </c>
      <c r="F395" s="5">
        <f t="shared" si="50"/>
        <v>3.5024601730392346E-2</v>
      </c>
      <c r="G395" s="1">
        <v>54667</v>
      </c>
      <c r="H395" s="2">
        <v>820.01940243813374</v>
      </c>
      <c r="I395" s="5">
        <f t="shared" si="46"/>
        <v>3.1550500417554028E-2</v>
      </c>
      <c r="J395" s="5">
        <f t="shared" si="51"/>
        <v>3.5124626404333004E-2</v>
      </c>
      <c r="K395" s="7">
        <f t="shared" si="52"/>
        <v>1.0002467394065739E-4</v>
      </c>
      <c r="M395" s="7">
        <f t="shared" si="47"/>
        <v>9.9999469044931288E-5</v>
      </c>
    </row>
    <row r="396" spans="1:13" x14ac:dyDescent="0.25">
      <c r="A396">
        <f t="shared" si="48"/>
        <v>32.749999999999837</v>
      </c>
      <c r="B396" s="1">
        <v>54697</v>
      </c>
      <c r="C396" s="2">
        <v>818.3508863805057</v>
      </c>
      <c r="D396" s="2">
        <f t="shared" si="49"/>
        <v>1.1205778392944232E-3</v>
      </c>
      <c r="E396" s="5">
        <f t="shared" si="45"/>
        <v>3.1433030098508619E-2</v>
      </c>
      <c r="F396" s="5">
        <f t="shared" si="50"/>
        <v>3.4969333970258365E-2</v>
      </c>
      <c r="G396" s="1">
        <v>54697</v>
      </c>
      <c r="H396" s="2">
        <v>820.94493068226734</v>
      </c>
      <c r="I396" s="5">
        <f t="shared" si="46"/>
        <v>3.1533029564737358E-2</v>
      </c>
      <c r="J396" s="5">
        <f t="shared" si="51"/>
        <v>3.5069354137925224E-2</v>
      </c>
      <c r="K396" s="7">
        <f t="shared" si="52"/>
        <v>1.0002016766685884E-4</v>
      </c>
      <c r="M396" s="7">
        <f t="shared" si="47"/>
        <v>9.9999466228739564E-5</v>
      </c>
    </row>
    <row r="397" spans="1:13" x14ac:dyDescent="0.25">
      <c r="A397">
        <f t="shared" si="48"/>
        <v>32.833333333333172</v>
      </c>
      <c r="B397" s="1">
        <v>54728</v>
      </c>
      <c r="C397" s="2">
        <v>819.50487724358345</v>
      </c>
      <c r="D397" s="2">
        <f t="shared" si="49"/>
        <v>1.4101418869132409E-3</v>
      </c>
      <c r="E397" s="5">
        <f t="shared" si="45"/>
        <v>3.1415559544432092E-2</v>
      </c>
      <c r="F397" s="5">
        <f t="shared" si="50"/>
        <v>3.4923465318103197E-2</v>
      </c>
      <c r="G397" s="1">
        <v>54728</v>
      </c>
      <c r="H397" s="2">
        <v>822.10922159651648</v>
      </c>
      <c r="I397" s="5">
        <f t="shared" si="46"/>
        <v>3.1515559007815996E-2</v>
      </c>
      <c r="J397" s="5">
        <f t="shared" si="51"/>
        <v>3.5023481883514229E-2</v>
      </c>
      <c r="K397" s="7">
        <f t="shared" si="52"/>
        <v>1.0001656541103188E-4</v>
      </c>
      <c r="M397" s="7">
        <f t="shared" si="47"/>
        <v>9.9999463383904086E-5</v>
      </c>
    </row>
    <row r="398" spans="1:13" x14ac:dyDescent="0.25">
      <c r="A398">
        <f t="shared" si="48"/>
        <v>32.916666666666508</v>
      </c>
      <c r="B398" s="1">
        <v>54758</v>
      </c>
      <c r="C398" s="2">
        <v>822.49171551095083</v>
      </c>
      <c r="D398" s="2">
        <f t="shared" si="49"/>
        <v>3.6446863835803978E-3</v>
      </c>
      <c r="E398" s="5">
        <f t="shared" si="45"/>
        <v>3.1398089286274189E-2</v>
      </c>
      <c r="F398" s="5">
        <f t="shared" si="50"/>
        <v>3.4947908795635696E-2</v>
      </c>
      <c r="G398" s="1">
        <v>54758</v>
      </c>
      <c r="H398" s="2">
        <v>825.11221822509037</v>
      </c>
      <c r="I398" s="5">
        <f t="shared" si="46"/>
        <v>3.149808874678417E-2</v>
      </c>
      <c r="J398" s="5">
        <f t="shared" si="51"/>
        <v>3.5047928549638341E-2</v>
      </c>
      <c r="K398" s="7">
        <f t="shared" si="52"/>
        <v>1.0001975400264485E-4</v>
      </c>
      <c r="M398" s="7">
        <f t="shared" si="47"/>
        <v>9.9999460509980764E-5</v>
      </c>
    </row>
    <row r="399" spans="1:13" x14ac:dyDescent="0.25">
      <c r="A399">
        <f t="shared" si="48"/>
        <v>32.999999999999844</v>
      </c>
      <c r="B399" s="1">
        <v>54789</v>
      </c>
      <c r="C399" s="2">
        <v>819.26825109230322</v>
      </c>
      <c r="D399" s="2">
        <f t="shared" si="49"/>
        <v>-3.919145151079273E-3</v>
      </c>
      <c r="E399" s="5">
        <f t="shared" si="45"/>
        <v>3.1380619324029801E-2</v>
      </c>
      <c r="F399" s="5">
        <f t="shared" si="50"/>
        <v>3.4735000000000182E-2</v>
      </c>
      <c r="G399" s="1">
        <v>54789</v>
      </c>
      <c r="H399" s="2">
        <v>821.88512394602708</v>
      </c>
      <c r="I399" s="5">
        <f t="shared" si="46"/>
        <v>3.1480618781639214E-2</v>
      </c>
      <c r="J399" s="5">
        <f t="shared" si="51"/>
        <v>3.4835000000000171E-2</v>
      </c>
      <c r="K399" s="7">
        <f t="shared" si="52"/>
        <v>9.9999999999988987E-5</v>
      </c>
      <c r="M399" s="7">
        <f t="shared" si="47"/>
        <v>9.999945760941209E-5</v>
      </c>
    </row>
    <row r="400" spans="1:13" x14ac:dyDescent="0.25">
      <c r="A400">
        <f t="shared" si="48"/>
        <v>33.083333333333179</v>
      </c>
      <c r="B400" s="1">
        <v>54820</v>
      </c>
      <c r="C400" s="2">
        <v>824.207711654386</v>
      </c>
      <c r="D400" s="2">
        <f t="shared" si="49"/>
        <v>6.0291126325195954E-3</v>
      </c>
      <c r="E400" s="5">
        <f t="shared" ref="E400:E463" si="53">C400/C388-1</f>
        <v>3.1363146997081648E-2</v>
      </c>
      <c r="F400" s="5">
        <f t="shared" si="50"/>
        <v>3.4834012893554922E-2</v>
      </c>
      <c r="G400" s="1">
        <v>54820</v>
      </c>
      <c r="H400" s="2">
        <v>826.84704364414779</v>
      </c>
      <c r="I400" s="5">
        <f t="shared" ref="I400:I463" si="54">H400/H388-1</f>
        <v>3.1463146452016977E-2</v>
      </c>
      <c r="J400" s="5">
        <f t="shared" si="51"/>
        <v>3.4934023331697039E-2</v>
      </c>
      <c r="K400" s="7">
        <f t="shared" si="52"/>
        <v>1.0001043814211741E-4</v>
      </c>
      <c r="M400" s="7">
        <f t="shared" ref="M400:M463" si="55">I400-E400</f>
        <v>9.9999454935328913E-5</v>
      </c>
    </row>
    <row r="401" spans="1:13" x14ac:dyDescent="0.25">
      <c r="A401">
        <f t="shared" si="48"/>
        <v>33.166666666666515</v>
      </c>
      <c r="B401" s="1">
        <v>54848</v>
      </c>
      <c r="C401" s="2">
        <v>827.57620272356598</v>
      </c>
      <c r="D401" s="2">
        <f t="shared" si="49"/>
        <v>4.0869443728190902E-3</v>
      </c>
      <c r="E401" s="5">
        <f t="shared" si="53"/>
        <v>3.1345674966127612E-2</v>
      </c>
      <c r="F401" s="5">
        <f t="shared" si="50"/>
        <v>3.4872240956137501E-2</v>
      </c>
      <c r="G401" s="1">
        <v>54848</v>
      </c>
      <c r="H401" s="2">
        <v>830.23303059322177</v>
      </c>
      <c r="I401" s="5">
        <f t="shared" si="54"/>
        <v>3.144567441835977E-2</v>
      </c>
      <c r="J401" s="5">
        <f t="shared" si="51"/>
        <v>3.497225595368314E-2</v>
      </c>
      <c r="K401" s="7">
        <f t="shared" si="52"/>
        <v>1.0001499754563881E-4</v>
      </c>
      <c r="M401" s="7">
        <f t="shared" si="55"/>
        <v>9.9999452232157893E-5</v>
      </c>
    </row>
    <row r="402" spans="1:13" x14ac:dyDescent="0.25">
      <c r="A402">
        <f t="shared" si="48"/>
        <v>33.249999999999851</v>
      </c>
      <c r="B402" s="1">
        <v>54879</v>
      </c>
      <c r="C402" s="2">
        <v>833.17391595592539</v>
      </c>
      <c r="D402" s="2">
        <f t="shared" si="49"/>
        <v>6.7639852546959034E-3</v>
      </c>
      <c r="E402" s="5">
        <f t="shared" si="53"/>
        <v>3.1328203231162144E-2</v>
      </c>
      <c r="F402" s="5">
        <f t="shared" si="50"/>
        <v>3.4993155762230499E-2</v>
      </c>
      <c r="G402" s="1">
        <v>54879</v>
      </c>
      <c r="H402" s="2">
        <v>835.85546908166612</v>
      </c>
      <c r="I402" s="5">
        <f t="shared" si="54"/>
        <v>3.1428202680662709E-2</v>
      </c>
      <c r="J402" s="5">
        <f t="shared" si="51"/>
        <v>3.5093183306218911E-2</v>
      </c>
      <c r="K402" s="7">
        <f t="shared" si="52"/>
        <v>1.000275439884124E-4</v>
      </c>
      <c r="M402" s="7">
        <f t="shared" si="55"/>
        <v>9.9999449500565163E-5</v>
      </c>
    </row>
    <row r="403" spans="1:13" x14ac:dyDescent="0.25">
      <c r="A403">
        <f t="shared" si="48"/>
        <v>33.333333333333186</v>
      </c>
      <c r="B403" s="1">
        <v>54909</v>
      </c>
      <c r="C403" s="2">
        <v>835.93474276083327</v>
      </c>
      <c r="D403" s="2">
        <f t="shared" si="49"/>
        <v>3.3136260653818805E-3</v>
      </c>
      <c r="E403" s="5">
        <f t="shared" si="53"/>
        <v>3.1310731792180357E-2</v>
      </c>
      <c r="F403" s="5">
        <f t="shared" si="50"/>
        <v>3.5006877180112417E-2</v>
      </c>
      <c r="G403" s="1">
        <v>54909</v>
      </c>
      <c r="H403" s="2">
        <v>838.63195849914723</v>
      </c>
      <c r="I403" s="5">
        <f t="shared" si="54"/>
        <v>3.1410731238920908E-2</v>
      </c>
      <c r="J403" s="5">
        <f t="shared" si="51"/>
        <v>3.5106906906581914E-2</v>
      </c>
      <c r="K403" s="7">
        <f t="shared" si="52"/>
        <v>1.0002972646949715E-4</v>
      </c>
      <c r="M403" s="7">
        <f t="shared" si="55"/>
        <v>9.9999446740550724E-5</v>
      </c>
    </row>
    <row r="404" spans="1:13" x14ac:dyDescent="0.25">
      <c r="A404">
        <f t="shared" si="48"/>
        <v>33.416666666666522</v>
      </c>
      <c r="B404" s="1">
        <v>54940</v>
      </c>
      <c r="C404" s="2">
        <v>837.12985221631595</v>
      </c>
      <c r="D404" s="2">
        <f t="shared" si="49"/>
        <v>1.4296683632690765E-3</v>
      </c>
      <c r="E404" s="5">
        <f t="shared" si="53"/>
        <v>3.1293260649177368E-2</v>
      </c>
      <c r="F404" s="5">
        <f t="shared" si="50"/>
        <v>3.4962317859222436E-2</v>
      </c>
      <c r="G404" s="1">
        <v>54940</v>
      </c>
      <c r="H404" s="2">
        <v>839.83771077051142</v>
      </c>
      <c r="I404" s="5">
        <f t="shared" si="54"/>
        <v>3.139326009312926E-2</v>
      </c>
      <c r="J404" s="5">
        <f t="shared" si="51"/>
        <v>3.5062344131250756E-2</v>
      </c>
      <c r="K404" s="7">
        <f t="shared" si="52"/>
        <v>1.000262720283196E-4</v>
      </c>
      <c r="M404" s="7">
        <f t="shared" si="55"/>
        <v>9.999944395189253E-5</v>
      </c>
    </row>
    <row r="405" spans="1:13" x14ac:dyDescent="0.25">
      <c r="A405">
        <f t="shared" si="48"/>
        <v>33.499999999999858</v>
      </c>
      <c r="B405" s="1">
        <v>54970</v>
      </c>
      <c r="C405" s="2">
        <v>836.12270555644875</v>
      </c>
      <c r="D405" s="2">
        <f t="shared" si="49"/>
        <v>-1.2030949048116302E-3</v>
      </c>
      <c r="E405" s="5">
        <f t="shared" si="53"/>
        <v>3.1275789802148068E-2</v>
      </c>
      <c r="F405" s="5">
        <f t="shared" si="50"/>
        <v>3.4836660341160508E-2</v>
      </c>
      <c r="G405" s="1">
        <v>54970</v>
      </c>
      <c r="H405" s="2">
        <v>838.83408488142925</v>
      </c>
      <c r="I405" s="5">
        <f t="shared" si="54"/>
        <v>3.1375789243282215E-2</v>
      </c>
      <c r="J405" s="5">
        <f t="shared" si="51"/>
        <v>3.4936675316450394E-2</v>
      </c>
      <c r="K405" s="7">
        <f t="shared" si="52"/>
        <v>1.0001497528988601E-4</v>
      </c>
      <c r="M405" s="7">
        <f t="shared" si="55"/>
        <v>9.9999441134146494E-5</v>
      </c>
    </row>
    <row r="406" spans="1:13" x14ac:dyDescent="0.25">
      <c r="A406">
        <f t="shared" si="48"/>
        <v>33.583333333333194</v>
      </c>
      <c r="B406" s="1">
        <v>55001</v>
      </c>
      <c r="C406" s="2">
        <v>839.26452666709372</v>
      </c>
      <c r="D406" s="2">
        <f t="shared" si="49"/>
        <v>3.7576076929450863E-3</v>
      </c>
      <c r="E406" s="5">
        <f t="shared" si="53"/>
        <v>3.1258319251087352E-2</v>
      </c>
      <c r="F406" s="5">
        <f t="shared" si="50"/>
        <v>3.4864298778747305E-2</v>
      </c>
      <c r="G406" s="1">
        <v>55001</v>
      </c>
      <c r="H406" s="2">
        <v>841.99289839973289</v>
      </c>
      <c r="I406" s="5">
        <f t="shared" si="54"/>
        <v>3.1358318689375553E-2</v>
      </c>
      <c r="J406" s="5">
        <f t="shared" si="51"/>
        <v>3.4964317268771028E-2</v>
      </c>
      <c r="K406" s="7">
        <f t="shared" si="52"/>
        <v>1.0001849002372332E-4</v>
      </c>
      <c r="M406" s="7">
        <f t="shared" si="55"/>
        <v>9.9999438288200793E-5</v>
      </c>
    </row>
    <row r="407" spans="1:13" x14ac:dyDescent="0.25">
      <c r="A407">
        <f t="shared" si="48"/>
        <v>33.666666666666529</v>
      </c>
      <c r="B407" s="1">
        <v>55032</v>
      </c>
      <c r="C407" s="2">
        <v>842.97224682871729</v>
      </c>
      <c r="D407" s="2">
        <f t="shared" si="49"/>
        <v>4.4178206558398436E-3</v>
      </c>
      <c r="E407" s="5">
        <f t="shared" si="53"/>
        <v>3.1240848995990111E-2</v>
      </c>
      <c r="F407" s="5">
        <f t="shared" si="50"/>
        <v>3.4912013226925831E-2</v>
      </c>
      <c r="G407" s="1">
        <v>55032</v>
      </c>
      <c r="H407" s="2">
        <v>845.71950624075771</v>
      </c>
      <c r="I407" s="5">
        <f t="shared" si="54"/>
        <v>3.1340848431403945E-2</v>
      </c>
      <c r="J407" s="5">
        <f t="shared" si="51"/>
        <v>3.5012037167892807E-2</v>
      </c>
      <c r="K407" s="7">
        <f t="shared" si="52"/>
        <v>1.0002394096697564E-4</v>
      </c>
      <c r="M407" s="7">
        <f t="shared" si="55"/>
        <v>9.9999435413833382E-5</v>
      </c>
    </row>
    <row r="408" spans="1:13" x14ac:dyDescent="0.25">
      <c r="A408">
        <f t="shared" si="48"/>
        <v>33.749999999999865</v>
      </c>
      <c r="B408" s="1">
        <v>55062</v>
      </c>
      <c r="C408" s="2">
        <v>843.90256629110786</v>
      </c>
      <c r="D408" s="2">
        <f t="shared" si="49"/>
        <v>1.1036181391386179E-3</v>
      </c>
      <c r="E408" s="5">
        <f t="shared" si="53"/>
        <v>3.1223379036851684E-2</v>
      </c>
      <c r="F408" s="5">
        <f t="shared" si="50"/>
        <v>3.4858147339625889E-2</v>
      </c>
      <c r="G408" s="1">
        <v>55062</v>
      </c>
      <c r="H408" s="2">
        <v>846.65969944853248</v>
      </c>
      <c r="I408" s="5">
        <f t="shared" si="54"/>
        <v>3.1323378469362506E-2</v>
      </c>
      <c r="J408" s="5">
        <f t="shared" si="51"/>
        <v>3.4958166909676791E-2</v>
      </c>
      <c r="K408" s="7">
        <f t="shared" si="52"/>
        <v>1.0001957005090212E-4</v>
      </c>
      <c r="M408" s="7">
        <f t="shared" si="55"/>
        <v>9.9999432510822217E-5</v>
      </c>
    </row>
    <row r="409" spans="1:13" x14ac:dyDescent="0.25">
      <c r="A409">
        <f t="shared" si="48"/>
        <v>33.833333333333201</v>
      </c>
      <c r="B409" s="1">
        <v>55093</v>
      </c>
      <c r="C409" s="2">
        <v>845.07827217412489</v>
      </c>
      <c r="D409" s="2">
        <f t="shared" si="49"/>
        <v>1.393177281334923E-3</v>
      </c>
      <c r="E409" s="5">
        <f t="shared" si="53"/>
        <v>3.1205909373667184E-2</v>
      </c>
      <c r="F409" s="5">
        <f t="shared" si="50"/>
        <v>3.4813394849487533E-2</v>
      </c>
      <c r="G409" s="1">
        <v>55093</v>
      </c>
      <c r="H409" s="2">
        <v>847.84609791412447</v>
      </c>
      <c r="I409" s="5">
        <f t="shared" si="54"/>
        <v>3.1305908803245908E-2</v>
      </c>
      <c r="J409" s="5">
        <f t="shared" si="51"/>
        <v>3.4913410925243138E-2</v>
      </c>
      <c r="K409" s="7">
        <f t="shared" si="52"/>
        <v>1.0001607575560456E-4</v>
      </c>
      <c r="M409" s="7">
        <f t="shared" si="55"/>
        <v>9.9999429578723209E-5</v>
      </c>
    </row>
    <row r="410" spans="1:13" x14ac:dyDescent="0.25">
      <c r="A410">
        <f t="shared" si="48"/>
        <v>33.916666666666536</v>
      </c>
      <c r="B410" s="1">
        <v>55123</v>
      </c>
      <c r="C410" s="2">
        <v>848.14394903595064</v>
      </c>
      <c r="D410" s="2">
        <f t="shared" si="49"/>
        <v>3.6276839232165514E-3</v>
      </c>
      <c r="E410" s="5">
        <f t="shared" si="53"/>
        <v>3.1188440006431062E-2</v>
      </c>
      <c r="F410" s="5">
        <f t="shared" si="50"/>
        <v>3.4836868653308928E-2</v>
      </c>
      <c r="G410" s="1">
        <v>55123</v>
      </c>
      <c r="H410" s="2">
        <v>850.92869189049509</v>
      </c>
      <c r="I410" s="5">
        <f t="shared" si="54"/>
        <v>3.1288439433049264E-2</v>
      </c>
      <c r="J410" s="5">
        <f t="shared" si="51"/>
        <v>3.4936887824829288E-2</v>
      </c>
      <c r="K410" s="7">
        <f t="shared" si="52"/>
        <v>1.0001917152036022E-4</v>
      </c>
      <c r="M410" s="7">
        <f t="shared" si="55"/>
        <v>9.9999426618202492E-5</v>
      </c>
    </row>
    <row r="411" spans="1:13" x14ac:dyDescent="0.25">
      <c r="A411">
        <f t="shared" si="48"/>
        <v>33.999999999999872</v>
      </c>
      <c r="B411" s="1">
        <v>55154</v>
      </c>
      <c r="C411" s="2">
        <v>844.8056379351849</v>
      </c>
      <c r="D411" s="2">
        <f t="shared" si="49"/>
        <v>-3.936019474713337E-3</v>
      </c>
      <c r="E411" s="5">
        <f t="shared" si="53"/>
        <v>3.1170970935140652E-2</v>
      </c>
      <c r="F411" s="5">
        <f t="shared" si="50"/>
        <v>3.4630000000000161E-2</v>
      </c>
      <c r="G411" s="1">
        <v>55154</v>
      </c>
      <c r="H411" s="2">
        <v>847.58626929525474</v>
      </c>
      <c r="I411" s="5">
        <f t="shared" si="54"/>
        <v>3.1270970358766803E-2</v>
      </c>
      <c r="J411" s="5">
        <f t="shared" si="51"/>
        <v>3.4729999999999928E-2</v>
      </c>
      <c r="K411" s="7">
        <f t="shared" si="52"/>
        <v>9.9999999999766942E-5</v>
      </c>
      <c r="M411" s="7">
        <f t="shared" si="55"/>
        <v>9.999942362615144E-5</v>
      </c>
    </row>
    <row r="412" spans="1:13" x14ac:dyDescent="0.25">
      <c r="A412">
        <f t="shared" si="48"/>
        <v>34.083333333333208</v>
      </c>
      <c r="B412" s="1">
        <v>55185</v>
      </c>
      <c r="C412" s="2">
        <v>849.88466618647897</v>
      </c>
      <c r="D412" s="2">
        <f t="shared" si="49"/>
        <v>6.0120671823495897E-3</v>
      </c>
      <c r="E412" s="5">
        <f t="shared" si="53"/>
        <v>3.1153499498995263E-2</v>
      </c>
      <c r="F412" s="5">
        <f t="shared" si="50"/>
        <v>3.4725840335850799E-2</v>
      </c>
      <c r="G412" s="1">
        <v>55185</v>
      </c>
      <c r="H412" s="2">
        <v>852.68890682957067</v>
      </c>
      <c r="I412" s="5">
        <f t="shared" si="54"/>
        <v>3.12534989198614E-2</v>
      </c>
      <c r="J412" s="5">
        <f t="shared" si="51"/>
        <v>3.4825850467725017E-2</v>
      </c>
      <c r="K412" s="7">
        <f t="shared" si="52"/>
        <v>1.0001013187421748E-4</v>
      </c>
      <c r="M412" s="7">
        <f t="shared" si="55"/>
        <v>9.9999420866137001E-5</v>
      </c>
    </row>
    <row r="413" spans="1:13" x14ac:dyDescent="0.25">
      <c r="A413">
        <f t="shared" si="48"/>
        <v>34.166666666666544</v>
      </c>
      <c r="B413" s="1">
        <v>55213</v>
      </c>
      <c r="C413" s="2">
        <v>853.3436388406958</v>
      </c>
      <c r="D413" s="2">
        <f t="shared" si="49"/>
        <v>4.0699318293828668E-3</v>
      </c>
      <c r="E413" s="5">
        <f t="shared" si="53"/>
        <v>3.1136028358873524E-2</v>
      </c>
      <c r="F413" s="5">
        <f t="shared" si="50"/>
        <v>3.4762696315665531E-2</v>
      </c>
      <c r="G413" s="1">
        <v>55213</v>
      </c>
      <c r="H413" s="2">
        <v>856.16621259817373</v>
      </c>
      <c r="I413" s="5">
        <f t="shared" si="54"/>
        <v>3.1236027776950781E-2</v>
      </c>
      <c r="J413" s="5">
        <f t="shared" si="51"/>
        <v>3.4862710874228764E-2</v>
      </c>
      <c r="K413" s="7">
        <f t="shared" si="52"/>
        <v>1.0001455856323282E-4</v>
      </c>
      <c r="M413" s="7">
        <f t="shared" si="55"/>
        <v>9.9999418077256763E-5</v>
      </c>
    </row>
    <row r="414" spans="1:13" x14ac:dyDescent="0.25">
      <c r="A414">
        <f t="shared" si="48"/>
        <v>34.249999999999879</v>
      </c>
      <c r="B414" s="1">
        <v>55244</v>
      </c>
      <c r="C414" s="2">
        <v>859.1010863794063</v>
      </c>
      <c r="D414" s="2">
        <f t="shared" si="49"/>
        <v>6.7469273533604657E-3</v>
      </c>
      <c r="E414" s="5">
        <f t="shared" si="53"/>
        <v>3.1118557514770329E-2</v>
      </c>
      <c r="F414" s="5">
        <f t="shared" si="50"/>
        <v>3.4879822730724985E-2</v>
      </c>
      <c r="G414" s="1">
        <v>55244</v>
      </c>
      <c r="H414" s="2">
        <v>861.94967062846933</v>
      </c>
      <c r="I414" s="5">
        <f t="shared" si="54"/>
        <v>3.1218556930030283E-2</v>
      </c>
      <c r="J414" s="5">
        <f t="shared" si="51"/>
        <v>3.4979849470404556E-2</v>
      </c>
      <c r="K414" s="7">
        <f t="shared" si="52"/>
        <v>1.0002673967957065E-4</v>
      </c>
      <c r="M414" s="7">
        <f t="shared" si="55"/>
        <v>9.9999415259954816E-5</v>
      </c>
    </row>
    <row r="415" spans="1:13" x14ac:dyDescent="0.25">
      <c r="A415">
        <f t="shared" si="48"/>
        <v>34.333333333333215</v>
      </c>
      <c r="B415" s="1">
        <v>55274</v>
      </c>
      <c r="C415" s="2">
        <v>861.93322189390801</v>
      </c>
      <c r="D415" s="2">
        <f t="shared" si="49"/>
        <v>3.2966266245075815E-3</v>
      </c>
      <c r="E415" s="5">
        <f t="shared" si="53"/>
        <v>3.1101086966681013E-2</v>
      </c>
      <c r="F415" s="5">
        <f t="shared" si="50"/>
        <v>3.4892907385039251E-2</v>
      </c>
      <c r="G415" s="1">
        <v>55274</v>
      </c>
      <c r="H415" s="2">
        <v>864.79818667654877</v>
      </c>
      <c r="I415" s="5">
        <f t="shared" si="54"/>
        <v>3.1201086379095022E-2</v>
      </c>
      <c r="J415" s="5">
        <f t="shared" si="51"/>
        <v>3.4992936245567652E-2</v>
      </c>
      <c r="K415" s="7">
        <f t="shared" si="52"/>
        <v>1.0002886052840054E-4</v>
      </c>
      <c r="M415" s="7">
        <f t="shared" si="55"/>
        <v>9.9999412414009115E-5</v>
      </c>
    </row>
    <row r="416" spans="1:13" x14ac:dyDescent="0.25">
      <c r="A416">
        <f t="shared" si="48"/>
        <v>34.416666666666551</v>
      </c>
      <c r="B416" s="1">
        <v>55305</v>
      </c>
      <c r="C416" s="2">
        <v>863.15087568295769</v>
      </c>
      <c r="D416" s="2">
        <f t="shared" si="49"/>
        <v>1.4127008428497234E-3</v>
      </c>
      <c r="E416" s="5">
        <f t="shared" si="53"/>
        <v>3.1083616714600026E-2</v>
      </c>
      <c r="F416" s="5">
        <f t="shared" si="50"/>
        <v>3.4849413972252385E-2</v>
      </c>
      <c r="G416" s="1">
        <v>55305</v>
      </c>
      <c r="H416" s="2">
        <v>866.02688754975532</v>
      </c>
      <c r="I416" s="5">
        <f t="shared" si="54"/>
        <v>3.1183616124139668E-2</v>
      </c>
      <c r="J416" s="5">
        <f t="shared" si="51"/>
        <v>3.4949439480834954E-2</v>
      </c>
      <c r="K416" s="7">
        <f t="shared" si="52"/>
        <v>1.0002550858256853E-4</v>
      </c>
      <c r="M416" s="7">
        <f t="shared" si="55"/>
        <v>9.9999409539641704E-5</v>
      </c>
    </row>
    <row r="417" spans="1:13" x14ac:dyDescent="0.25">
      <c r="A417">
        <f t="shared" si="48"/>
        <v>34.499999999999886</v>
      </c>
      <c r="B417" s="1">
        <v>55335</v>
      </c>
      <c r="C417" s="2">
        <v>862.0978162353988</v>
      </c>
      <c r="D417" s="2">
        <f t="shared" si="49"/>
        <v>-1.2200178175405529E-3</v>
      </c>
      <c r="E417" s="5">
        <f t="shared" si="53"/>
        <v>3.106614675852315E-2</v>
      </c>
      <c r="F417" s="5">
        <f t="shared" si="50"/>
        <v>3.4727176295390905E-2</v>
      </c>
      <c r="G417" s="1">
        <v>55335</v>
      </c>
      <c r="H417" s="2">
        <v>864.97731057916189</v>
      </c>
      <c r="I417" s="5">
        <f t="shared" si="54"/>
        <v>3.116614616515978E-2</v>
      </c>
      <c r="J417" s="5">
        <f t="shared" si="51"/>
        <v>3.4827190836586697E-2</v>
      </c>
      <c r="K417" s="7">
        <f t="shared" si="52"/>
        <v>1.0001454119579201E-4</v>
      </c>
      <c r="M417" s="7">
        <f t="shared" si="55"/>
        <v>9.9999406636630539E-5</v>
      </c>
    </row>
    <row r="418" spans="1:13" x14ac:dyDescent="0.25">
      <c r="A418">
        <f t="shared" si="48"/>
        <v>34.583333333333222</v>
      </c>
      <c r="B418" s="1">
        <v>55366</v>
      </c>
      <c r="C418" s="2">
        <v>865.32257995575947</v>
      </c>
      <c r="D418" s="2">
        <f t="shared" si="49"/>
        <v>3.7406007295581745E-3</v>
      </c>
      <c r="E418" s="5">
        <f t="shared" si="53"/>
        <v>3.1048677098444832E-2</v>
      </c>
      <c r="F418" s="5">
        <f t="shared" si="50"/>
        <v>3.4753769551344238E-2</v>
      </c>
      <c r="G418" s="1">
        <v>55366</v>
      </c>
      <c r="H418" s="2">
        <v>868.21986280909357</v>
      </c>
      <c r="I418" s="5">
        <f t="shared" si="54"/>
        <v>3.1148676502149586E-2</v>
      </c>
      <c r="J418" s="5">
        <f t="shared" si="51"/>
        <v>3.4853787506672118E-2</v>
      </c>
      <c r="K418" s="7">
        <f t="shared" si="52"/>
        <v>1.0001795532788016E-4</v>
      </c>
      <c r="M418" s="7">
        <f t="shared" si="55"/>
        <v>9.9999403704753576E-5</v>
      </c>
    </row>
    <row r="419" spans="1:13" x14ac:dyDescent="0.25">
      <c r="A419">
        <f t="shared" si="48"/>
        <v>34.666666666666558</v>
      </c>
      <c r="B419" s="1">
        <v>55397</v>
      </c>
      <c r="C419" s="2">
        <v>869.13069373435951</v>
      </c>
      <c r="D419" s="2">
        <f t="shared" si="49"/>
        <v>4.4008025062685086E-3</v>
      </c>
      <c r="E419" s="5">
        <f t="shared" si="53"/>
        <v>3.1031207734360189E-2</v>
      </c>
      <c r="F419" s="5">
        <f t="shared" si="50"/>
        <v>3.4799862572475693E-2</v>
      </c>
      <c r="G419" s="1">
        <v>55397</v>
      </c>
      <c r="H419" s="2">
        <v>872.04777536773724</v>
      </c>
      <c r="I419" s="5">
        <f t="shared" si="54"/>
        <v>3.1131207135104644E-2</v>
      </c>
      <c r="J419" s="5">
        <f t="shared" si="51"/>
        <v>3.4899885822760934E-2</v>
      </c>
      <c r="K419" s="7">
        <f t="shared" si="52"/>
        <v>1.0002325028524162E-4</v>
      </c>
      <c r="M419" s="7">
        <f t="shared" si="55"/>
        <v>9.9999400744454903E-5</v>
      </c>
    </row>
    <row r="420" spans="1:13" x14ac:dyDescent="0.25">
      <c r="A420">
        <f t="shared" si="48"/>
        <v>34.749999999999893</v>
      </c>
      <c r="B420" s="1">
        <v>55427</v>
      </c>
      <c r="C420" s="2">
        <v>870.07513994184978</v>
      </c>
      <c r="D420" s="2">
        <f t="shared" si="49"/>
        <v>1.0866561430851185E-3</v>
      </c>
      <c r="E420" s="5">
        <f t="shared" si="53"/>
        <v>3.101373866626389E-2</v>
      </c>
      <c r="F420" s="5">
        <f t="shared" si="50"/>
        <v>3.4747316807797635E-2</v>
      </c>
      <c r="G420" s="1">
        <v>55427</v>
      </c>
      <c r="H420" s="2">
        <v>873.00244756653581</v>
      </c>
      <c r="I420" s="5">
        <f t="shared" si="54"/>
        <v>3.1113738064019847E-2</v>
      </c>
      <c r="J420" s="5">
        <f t="shared" si="51"/>
        <v>3.4847335814630842E-2</v>
      </c>
      <c r="K420" s="7">
        <f t="shared" si="52"/>
        <v>1.0001900683320741E-4</v>
      </c>
      <c r="M420" s="7">
        <f t="shared" si="55"/>
        <v>9.9999397755956565E-5</v>
      </c>
    </row>
    <row r="421" spans="1:13" x14ac:dyDescent="0.25">
      <c r="A421">
        <f t="shared" si="48"/>
        <v>34.833333333333229</v>
      </c>
      <c r="B421" s="1">
        <v>55458</v>
      </c>
      <c r="C421" s="2">
        <v>871.27254638011732</v>
      </c>
      <c r="D421" s="2">
        <f t="shared" si="49"/>
        <v>1.3762103791949976E-3</v>
      </c>
      <c r="E421" s="5">
        <f t="shared" si="53"/>
        <v>3.0996269894151496E-2</v>
      </c>
      <c r="F421" s="5">
        <f t="shared" si="50"/>
        <v>3.4703615530920162E-2</v>
      </c>
      <c r="G421" s="1">
        <v>55458</v>
      </c>
      <c r="H421" s="2">
        <v>874.21094849039639</v>
      </c>
      <c r="I421" s="5">
        <f t="shared" si="54"/>
        <v>3.1096269288889644E-2</v>
      </c>
      <c r="J421" s="5">
        <f t="shared" si="51"/>
        <v>3.480363114513696E-2</v>
      </c>
      <c r="K421" s="7">
        <f t="shared" si="52"/>
        <v>1.0001561421679739E-4</v>
      </c>
      <c r="M421" s="7">
        <f t="shared" si="55"/>
        <v>9.9999394738148339E-5</v>
      </c>
    </row>
    <row r="422" spans="1:13" x14ac:dyDescent="0.25">
      <c r="A422">
        <f t="shared" si="48"/>
        <v>34.916666666666565</v>
      </c>
      <c r="B422" s="1">
        <v>55488</v>
      </c>
      <c r="C422" s="2">
        <v>874.41843200702874</v>
      </c>
      <c r="D422" s="2">
        <f t="shared" si="49"/>
        <v>3.6106791611667521E-3</v>
      </c>
      <c r="E422" s="5">
        <f t="shared" si="53"/>
        <v>3.0978801418017676E-2</v>
      </c>
      <c r="F422" s="5">
        <f t="shared" si="50"/>
        <v>3.4726174517892394E-2</v>
      </c>
      <c r="G422" s="1">
        <v>55488</v>
      </c>
      <c r="H422" s="2">
        <v>877.37453520902659</v>
      </c>
      <c r="I422" s="5">
        <f t="shared" si="54"/>
        <v>3.1078800809709595E-2</v>
      </c>
      <c r="J422" s="5">
        <f t="shared" si="51"/>
        <v>3.4826193140297779E-2</v>
      </c>
      <c r="K422" s="7">
        <f t="shared" si="52"/>
        <v>1.0001862240538451E-4</v>
      </c>
      <c r="M422" s="7">
        <f t="shared" si="55"/>
        <v>9.9999391691918404E-5</v>
      </c>
    </row>
    <row r="423" spans="1:13" x14ac:dyDescent="0.25">
      <c r="A423">
        <f t="shared" si="48"/>
        <v>34.999999999999901</v>
      </c>
      <c r="B423" s="1">
        <v>55519</v>
      </c>
      <c r="C423" s="2">
        <v>870.96194681251632</v>
      </c>
      <c r="D423" s="2">
        <f t="shared" si="49"/>
        <v>-3.952896082689894E-3</v>
      </c>
      <c r="E423" s="5">
        <f t="shared" si="53"/>
        <v>3.0961333237856659E-2</v>
      </c>
      <c r="F423" s="5">
        <f t="shared" si="50"/>
        <v>3.4525000000000139E-2</v>
      </c>
      <c r="G423" s="1">
        <v>55519</v>
      </c>
      <c r="H423" s="2">
        <v>873.9134283354673</v>
      </c>
      <c r="I423" s="5">
        <f t="shared" si="54"/>
        <v>3.1061332626474591E-2</v>
      </c>
      <c r="J423" s="5">
        <f t="shared" si="51"/>
        <v>3.4625000000000128E-2</v>
      </c>
      <c r="K423" s="7">
        <f t="shared" si="52"/>
        <v>9.9999999999988987E-5</v>
      </c>
      <c r="M423" s="7">
        <f t="shared" si="55"/>
        <v>9.9999388617932894E-5</v>
      </c>
    </row>
    <row r="424" spans="1:13" x14ac:dyDescent="0.25">
      <c r="A424">
        <f t="shared" si="48"/>
        <v>35.083333333333236</v>
      </c>
      <c r="B424" s="1">
        <v>55550</v>
      </c>
      <c r="C424" s="2">
        <v>876.18338060157919</v>
      </c>
      <c r="D424" s="2">
        <f t="shared" si="49"/>
        <v>5.9950194244098309E-3</v>
      </c>
      <c r="E424" s="5">
        <f t="shared" si="53"/>
        <v>3.0943862692693669E-2</v>
      </c>
      <c r="F424" s="5">
        <f t="shared" si="50"/>
        <v>3.461784864542139E-2</v>
      </c>
      <c r="G424" s="1">
        <v>55550</v>
      </c>
      <c r="H424" s="2">
        <v>879.15966364902488</v>
      </c>
      <c r="I424" s="5">
        <f t="shared" si="54"/>
        <v>3.104386207846499E-2</v>
      </c>
      <c r="J424" s="5">
        <f t="shared" si="51"/>
        <v>3.4717858488487963E-2</v>
      </c>
      <c r="K424" s="7">
        <f t="shared" si="52"/>
        <v>1.0000984306657301E-4</v>
      </c>
      <c r="M424" s="7">
        <f t="shared" si="55"/>
        <v>9.9999385771321059E-5</v>
      </c>
    </row>
    <row r="425" spans="1:13" x14ac:dyDescent="0.25">
      <c r="A425">
        <f t="shared" si="48"/>
        <v>35.166666666666572</v>
      </c>
      <c r="B425" s="1">
        <v>55579</v>
      </c>
      <c r="C425" s="2">
        <v>879.73447910471941</v>
      </c>
      <c r="D425" s="2">
        <f t="shared" si="49"/>
        <v>4.0529169826322153E-3</v>
      </c>
      <c r="E425" s="5">
        <f t="shared" si="53"/>
        <v>3.0926392443584305E-2</v>
      </c>
      <c r="F425" s="5">
        <f t="shared" si="50"/>
        <v>3.4653410156380904E-2</v>
      </c>
      <c r="G425" s="1">
        <v>55579</v>
      </c>
      <c r="H425" s="2">
        <v>882.72996097883845</v>
      </c>
      <c r="I425" s="5">
        <f t="shared" si="54"/>
        <v>3.1026391826480371E-2</v>
      </c>
      <c r="J425" s="5">
        <f t="shared" si="51"/>
        <v>3.4753424300929314E-2</v>
      </c>
      <c r="K425" s="7">
        <f t="shared" si="52"/>
        <v>1.000141445484104E-4</v>
      </c>
      <c r="M425" s="7">
        <f t="shared" si="55"/>
        <v>9.999938289606547E-5</v>
      </c>
    </row>
    <row r="426" spans="1:13" x14ac:dyDescent="0.25">
      <c r="A426">
        <f t="shared" si="48"/>
        <v>35.249999999999908</v>
      </c>
      <c r="B426" s="1">
        <v>55610</v>
      </c>
      <c r="C426" s="2">
        <v>885.65497526983199</v>
      </c>
      <c r="D426" s="2">
        <f t="shared" si="49"/>
        <v>6.7298671425697343E-3</v>
      </c>
      <c r="E426" s="5">
        <f t="shared" si="53"/>
        <v>3.0908922490523683E-2</v>
      </c>
      <c r="F426" s="5">
        <f t="shared" si="50"/>
        <v>3.4766962556610492E-2</v>
      </c>
      <c r="G426" s="1">
        <v>55610</v>
      </c>
      <c r="H426" s="2">
        <v>888.67780062130453</v>
      </c>
      <c r="I426" s="5">
        <f t="shared" si="54"/>
        <v>3.1008921870516071E-2</v>
      </c>
      <c r="J426" s="5">
        <f t="shared" si="51"/>
        <v>3.4866988537622046E-2</v>
      </c>
      <c r="K426" s="7">
        <f t="shared" si="52"/>
        <v>1.0002598101155336E-4</v>
      </c>
      <c r="M426" s="7">
        <f t="shared" si="55"/>
        <v>9.9999379992388171E-5</v>
      </c>
    </row>
    <row r="427" spans="1:13" x14ac:dyDescent="0.25">
      <c r="A427">
        <f t="shared" si="48"/>
        <v>35.333333333333243</v>
      </c>
      <c r="B427" s="1">
        <v>55640</v>
      </c>
      <c r="C427" s="2">
        <v>888.55959136367596</v>
      </c>
      <c r="D427" s="2">
        <f t="shared" si="49"/>
        <v>3.2796248820925467E-3</v>
      </c>
      <c r="E427" s="5">
        <f t="shared" si="53"/>
        <v>3.0891452833506472E-2</v>
      </c>
      <c r="F427" s="5">
        <f t="shared" si="50"/>
        <v>3.4779445385229035E-2</v>
      </c>
      <c r="G427" s="1">
        <v>55640</v>
      </c>
      <c r="H427" s="2">
        <v>891.59953835071963</v>
      </c>
      <c r="I427" s="5">
        <f t="shared" si="54"/>
        <v>3.0991452210566539E-2</v>
      </c>
      <c r="J427" s="5">
        <f t="shared" si="51"/>
        <v>3.4879473428838681E-2</v>
      </c>
      <c r="K427" s="7">
        <f t="shared" si="52"/>
        <v>1.0002804360964568E-4</v>
      </c>
      <c r="M427" s="7">
        <f t="shared" si="55"/>
        <v>9.9999377060067118E-5</v>
      </c>
    </row>
    <row r="428" spans="1:13" x14ac:dyDescent="0.25">
      <c r="A428">
        <f t="shared" si="48"/>
        <v>35.416666666666579</v>
      </c>
      <c r="B428" s="1">
        <v>55671</v>
      </c>
      <c r="C428" s="2">
        <v>889.79978155309175</v>
      </c>
      <c r="D428" s="2">
        <f t="shared" si="49"/>
        <v>1.3957310252117328E-3</v>
      </c>
      <c r="E428" s="5">
        <f t="shared" si="53"/>
        <v>3.0873983472528455E-2</v>
      </c>
      <c r="F428" s="5">
        <f t="shared" si="50"/>
        <v>3.4736956477578573E-2</v>
      </c>
      <c r="G428" s="1">
        <v>55671</v>
      </c>
      <c r="H428" s="2">
        <v>892.85118950943945</v>
      </c>
      <c r="I428" s="5">
        <f t="shared" si="54"/>
        <v>3.0973982846627335E-2</v>
      </c>
      <c r="J428" s="5">
        <f t="shared" si="51"/>
        <v>3.4836981265833344E-2</v>
      </c>
      <c r="K428" s="7">
        <f t="shared" si="52"/>
        <v>1.0002478825477112E-4</v>
      </c>
      <c r="M428" s="7">
        <f t="shared" si="55"/>
        <v>9.9999374098880267E-5</v>
      </c>
    </row>
    <row r="429" spans="1:13" x14ac:dyDescent="0.25">
      <c r="A429">
        <f t="shared" si="48"/>
        <v>35.499999999999915</v>
      </c>
      <c r="B429" s="1">
        <v>55701</v>
      </c>
      <c r="C429" s="2">
        <v>888.69914992281281</v>
      </c>
      <c r="D429" s="2">
        <f t="shared" si="49"/>
        <v>-1.2369430214489441E-3</v>
      </c>
      <c r="E429" s="5">
        <f t="shared" si="53"/>
        <v>3.0856514407583635E-2</v>
      </c>
      <c r="F429" s="5">
        <f t="shared" si="50"/>
        <v>3.4617944889669072E-2</v>
      </c>
      <c r="G429" s="1">
        <v>55701</v>
      </c>
      <c r="H429" s="2">
        <v>891.75399261236248</v>
      </c>
      <c r="I429" s="5">
        <f t="shared" si="54"/>
        <v>3.0956513778692907E-2</v>
      </c>
      <c r="J429" s="5">
        <f t="shared" si="51"/>
        <v>3.4717959021228317E-2</v>
      </c>
      <c r="K429" s="7">
        <f t="shared" si="52"/>
        <v>1.000141315592451E-4</v>
      </c>
      <c r="M429" s="7">
        <f t="shared" si="55"/>
        <v>9.9999371109271706E-5</v>
      </c>
    </row>
    <row r="430" spans="1:13" x14ac:dyDescent="0.25">
      <c r="A430">
        <f t="shared" si="48"/>
        <v>35.58333333333325</v>
      </c>
      <c r="B430" s="1">
        <v>55732</v>
      </c>
      <c r="C430" s="2">
        <v>892.00830249118485</v>
      </c>
      <c r="D430" s="2">
        <f t="shared" si="49"/>
        <v>3.7235914636122303E-3</v>
      </c>
      <c r="E430" s="5">
        <f t="shared" si="53"/>
        <v>3.0839045638667795E-2</v>
      </c>
      <c r="F430" s="5">
        <f t="shared" si="50"/>
        <v>3.4643551127187422E-2</v>
      </c>
      <c r="G430" s="1">
        <v>55732</v>
      </c>
      <c r="H430" s="2">
        <v>895.08175622030615</v>
      </c>
      <c r="I430" s="5">
        <f t="shared" si="54"/>
        <v>3.0939045006758814E-2</v>
      </c>
      <c r="J430" s="5">
        <f t="shared" si="51"/>
        <v>3.4743568577875639E-2</v>
      </c>
      <c r="K430" s="7">
        <f t="shared" si="52"/>
        <v>1.0001745068821677E-4</v>
      </c>
      <c r="M430" s="7">
        <f t="shared" si="55"/>
        <v>9.9999368091019392E-5</v>
      </c>
    </row>
    <row r="431" spans="1:13" x14ac:dyDescent="0.25">
      <c r="A431">
        <f t="shared" si="48"/>
        <v>35.666666666666586</v>
      </c>
      <c r="B431" s="1">
        <v>55763</v>
      </c>
      <c r="C431" s="2">
        <v>895.91867247843697</v>
      </c>
      <c r="D431" s="2">
        <f t="shared" si="49"/>
        <v>4.3837820526235749E-3</v>
      </c>
      <c r="E431" s="5">
        <f t="shared" si="53"/>
        <v>3.0821577165775382E-2</v>
      </c>
      <c r="F431" s="5">
        <f t="shared" si="50"/>
        <v>3.4688112934470938E-2</v>
      </c>
      <c r="G431" s="1">
        <v>55763</v>
      </c>
      <c r="H431" s="2">
        <v>899.01286739230181</v>
      </c>
      <c r="I431" s="5">
        <f t="shared" si="54"/>
        <v>3.0921576530819728E-2</v>
      </c>
      <c r="J431" s="5">
        <f t="shared" si="51"/>
        <v>3.4788135532808795E-2</v>
      </c>
      <c r="K431" s="7">
        <f t="shared" si="52"/>
        <v>1.0002259833785665E-4</v>
      </c>
      <c r="M431" s="7">
        <f t="shared" si="55"/>
        <v>9.9999365044345367E-5</v>
      </c>
    </row>
    <row r="432" spans="1:13" x14ac:dyDescent="0.25">
      <c r="A432">
        <f t="shared" si="48"/>
        <v>35.749999999999922</v>
      </c>
      <c r="B432" s="1">
        <v>55793</v>
      </c>
      <c r="C432" s="2">
        <v>896.8770293811524</v>
      </c>
      <c r="D432" s="2">
        <f t="shared" si="49"/>
        <v>1.0696918505608277E-3</v>
      </c>
      <c r="E432" s="5">
        <f t="shared" si="53"/>
        <v>3.0804108988901735E-2</v>
      </c>
      <c r="F432" s="5">
        <f t="shared" si="50"/>
        <v>3.4636812489604374E-2</v>
      </c>
      <c r="G432" s="1">
        <v>55793</v>
      </c>
      <c r="H432" s="2">
        <v>899.98180979670713</v>
      </c>
      <c r="I432" s="5">
        <f t="shared" si="54"/>
        <v>3.0904108350870541E-2</v>
      </c>
      <c r="J432" s="5">
        <f t="shared" si="51"/>
        <v>3.4736830964731791E-2</v>
      </c>
      <c r="K432" s="7">
        <f t="shared" si="52"/>
        <v>1.0001847512741691E-4</v>
      </c>
      <c r="M432" s="7">
        <f t="shared" si="55"/>
        <v>9.9999361968805545E-5</v>
      </c>
    </row>
    <row r="433" spans="1:13" x14ac:dyDescent="0.25">
      <c r="A433">
        <f t="shared" si="48"/>
        <v>35.833333333333258</v>
      </c>
      <c r="B433" s="1">
        <v>55824</v>
      </c>
      <c r="C433" s="2">
        <v>898.09610157281134</v>
      </c>
      <c r="D433" s="2">
        <f t="shared" si="49"/>
        <v>1.3592411799197013E-3</v>
      </c>
      <c r="E433" s="5">
        <f t="shared" si="53"/>
        <v>3.0786641108041302E-2</v>
      </c>
      <c r="F433" s="5">
        <f t="shared" si="50"/>
        <v>3.459410298520349E-2</v>
      </c>
      <c r="G433" s="1">
        <v>55824</v>
      </c>
      <c r="H433" s="2">
        <v>901.21238774865242</v>
      </c>
      <c r="I433" s="5">
        <f t="shared" si="54"/>
        <v>3.0886640466906368E-2</v>
      </c>
      <c r="J433" s="5">
        <f t="shared" si="51"/>
        <v>3.4694118163643761E-2</v>
      </c>
      <c r="K433" s="7">
        <f t="shared" si="52"/>
        <v>1.0001517844027141E-4</v>
      </c>
      <c r="M433" s="7">
        <f t="shared" si="55"/>
        <v>9.9999358865066057E-5</v>
      </c>
    </row>
    <row r="434" spans="1:13" x14ac:dyDescent="0.25">
      <c r="A434">
        <f t="shared" si="48"/>
        <v>35.916666666666593</v>
      </c>
      <c r="B434" s="1">
        <v>55854</v>
      </c>
      <c r="C434" s="2">
        <v>901.32356447332836</v>
      </c>
      <c r="D434" s="2">
        <f t="shared" si="49"/>
        <v>3.5936720968556823E-3</v>
      </c>
      <c r="E434" s="5">
        <f t="shared" si="53"/>
        <v>3.0769173523189641E-2</v>
      </c>
      <c r="F434" s="5">
        <f t="shared" si="50"/>
        <v>3.4615797485963995E-2</v>
      </c>
      <c r="G434" s="1">
        <v>55854</v>
      </c>
      <c r="H434" s="2">
        <v>904.45836141595794</v>
      </c>
      <c r="I434" s="5">
        <f t="shared" si="54"/>
        <v>3.0869172878922102E-2</v>
      </c>
      <c r="J434" s="5">
        <f t="shared" si="51"/>
        <v>3.4715815589834609E-2</v>
      </c>
      <c r="K434" s="7">
        <f t="shared" si="52"/>
        <v>1.0001810387061383E-4</v>
      </c>
      <c r="M434" s="7">
        <f t="shared" si="55"/>
        <v>9.9999355732460771E-5</v>
      </c>
    </row>
    <row r="435" spans="1:13" x14ac:dyDescent="0.25">
      <c r="A435">
        <f t="shared" si="48"/>
        <v>35.999999999999929</v>
      </c>
      <c r="B435" s="1">
        <v>55885</v>
      </c>
      <c r="C435" s="2">
        <v>897.74551274218447</v>
      </c>
      <c r="D435" s="2">
        <f t="shared" si="49"/>
        <v>-3.969774975576823E-3</v>
      </c>
      <c r="E435" s="5">
        <f t="shared" si="53"/>
        <v>3.0751706234340981E-2</v>
      </c>
      <c r="F435" s="5">
        <f t="shared" si="50"/>
        <v>3.4419999999999895E-2</v>
      </c>
      <c r="G435" s="1">
        <v>55885</v>
      </c>
      <c r="H435" s="2">
        <v>900.87514813492362</v>
      </c>
      <c r="I435" s="5">
        <f t="shared" si="54"/>
        <v>3.0851705586913747E-2</v>
      </c>
      <c r="J435" s="5">
        <f t="shared" si="51"/>
        <v>3.4520000000000106E-2</v>
      </c>
      <c r="K435" s="7">
        <f t="shared" si="52"/>
        <v>1.0000000000021103E-4</v>
      </c>
      <c r="M435" s="7">
        <f t="shared" si="55"/>
        <v>9.9999352572766043E-5</v>
      </c>
    </row>
    <row r="436" spans="1:13" x14ac:dyDescent="0.25">
      <c r="A436">
        <f t="shared" si="48"/>
        <v>36.083333333333265</v>
      </c>
      <c r="B436" s="1">
        <v>55916</v>
      </c>
      <c r="C436" s="2">
        <v>903.11220790875211</v>
      </c>
      <c r="D436" s="2">
        <f t="shared" si="49"/>
        <v>5.9779693581256677E-3</v>
      </c>
      <c r="E436" s="5">
        <f t="shared" si="53"/>
        <v>3.0734236580342245E-2</v>
      </c>
      <c r="F436" s="5">
        <f t="shared" si="50"/>
        <v>3.4510022784084882E-2</v>
      </c>
      <c r="G436" s="1">
        <v>55916</v>
      </c>
      <c r="H436" s="2">
        <v>906.26788013810119</v>
      </c>
      <c r="I436" s="5">
        <f t="shared" si="54"/>
        <v>3.0834235929980469E-2</v>
      </c>
      <c r="J436" s="5">
        <f t="shared" si="51"/>
        <v>3.461003235435256E-2</v>
      </c>
      <c r="K436" s="7">
        <f t="shared" si="52"/>
        <v>1.0000957026767843E-4</v>
      </c>
      <c r="M436" s="7">
        <f t="shared" si="55"/>
        <v>9.9999349638224544E-5</v>
      </c>
    </row>
    <row r="437" spans="1:13" x14ac:dyDescent="0.25">
      <c r="A437">
        <f t="shared" si="48"/>
        <v>36.1666666666666</v>
      </c>
      <c r="B437" s="1">
        <v>55944</v>
      </c>
      <c r="C437" s="2">
        <v>906.75707831692239</v>
      </c>
      <c r="D437" s="2">
        <f t="shared" si="49"/>
        <v>4.0358998319935946E-3</v>
      </c>
      <c r="E437" s="5">
        <f t="shared" si="53"/>
        <v>3.0716767222427332E-2</v>
      </c>
      <c r="F437" s="5">
        <f t="shared" si="50"/>
        <v>3.4544361035977245E-2</v>
      </c>
      <c r="G437" s="1">
        <v>55944</v>
      </c>
      <c r="H437" s="2">
        <v>909.93284412987589</v>
      </c>
      <c r="I437" s="5">
        <f t="shared" si="54"/>
        <v>3.081676656910215E-2</v>
      </c>
      <c r="J437" s="5">
        <f t="shared" si="51"/>
        <v>3.4644374789407628E-2</v>
      </c>
      <c r="K437" s="7">
        <f t="shared" si="52"/>
        <v>1.0001375343038355E-4</v>
      </c>
      <c r="M437" s="7">
        <f t="shared" si="55"/>
        <v>9.9999346674817247E-5</v>
      </c>
    </row>
    <row r="438" spans="1:13" x14ac:dyDescent="0.25">
      <c r="A438">
        <f t="shared" si="48"/>
        <v>36.249999999999936</v>
      </c>
      <c r="B438" s="1">
        <v>55975</v>
      </c>
      <c r="C438" s="2">
        <v>912.8439614230515</v>
      </c>
      <c r="D438" s="2">
        <f t="shared" si="49"/>
        <v>6.7128046217486137E-3</v>
      </c>
      <c r="E438" s="5">
        <f t="shared" si="53"/>
        <v>3.0699298160591137E-2</v>
      </c>
      <c r="F438" s="5">
        <f t="shared" si="50"/>
        <v>3.4654536101929256E-2</v>
      </c>
      <c r="G438" s="1">
        <v>55975</v>
      </c>
      <c r="H438" s="2">
        <v>916.04845258808382</v>
      </c>
      <c r="I438" s="5">
        <f t="shared" si="54"/>
        <v>3.0799297504273904E-2</v>
      </c>
      <c r="J438" s="5">
        <f t="shared" si="51"/>
        <v>3.4754561366135528E-2</v>
      </c>
      <c r="K438" s="7">
        <f t="shared" si="52"/>
        <v>1.0002526420627156E-4</v>
      </c>
      <c r="M438" s="7">
        <f t="shared" si="55"/>
        <v>9.9999343682766195E-5</v>
      </c>
    </row>
    <row r="439" spans="1:13" x14ac:dyDescent="0.25">
      <c r="A439">
        <f t="shared" si="48"/>
        <v>36.333333333333272</v>
      </c>
      <c r="B439" s="1">
        <v>56005</v>
      </c>
      <c r="C439" s="2">
        <v>915.82222515303488</v>
      </c>
      <c r="D439" s="2">
        <f t="shared" si="49"/>
        <v>3.262620837564123E-3</v>
      </c>
      <c r="E439" s="5">
        <f t="shared" si="53"/>
        <v>3.0681829394828553E-2</v>
      </c>
      <c r="F439" s="5">
        <f t="shared" si="50"/>
        <v>3.4666449246928854E-2</v>
      </c>
      <c r="G439" s="1">
        <v>56005</v>
      </c>
      <c r="H439" s="2">
        <v>919.04460264087402</v>
      </c>
      <c r="I439" s="5">
        <f t="shared" si="54"/>
        <v>3.0781828735490624E-2</v>
      </c>
      <c r="J439" s="5">
        <f t="shared" si="51"/>
        <v>3.4766476518594214E-2</v>
      </c>
      <c r="K439" s="7">
        <f t="shared" si="52"/>
        <v>1.0002727166535941E-4</v>
      </c>
      <c r="M439" s="7">
        <f t="shared" si="55"/>
        <v>9.999934066207139E-5</v>
      </c>
    </row>
    <row r="440" spans="1:13" x14ac:dyDescent="0.25">
      <c r="A440">
        <f t="shared" si="48"/>
        <v>36.416666666666607</v>
      </c>
      <c r="B440" s="1">
        <v>56036</v>
      </c>
      <c r="C440" s="2">
        <v>917.0849232057418</v>
      </c>
      <c r="D440" s="2">
        <f t="shared" si="49"/>
        <v>1.3787589097828956E-3</v>
      </c>
      <c r="E440" s="5">
        <f t="shared" si="53"/>
        <v>3.0664360925134693E-2</v>
      </c>
      <c r="F440" s="5">
        <f t="shared" si="50"/>
        <v>3.4624908597046034E-2</v>
      </c>
      <c r="G440" s="1">
        <v>56036</v>
      </c>
      <c r="H440" s="2">
        <v>920.31918516453061</v>
      </c>
      <c r="I440" s="5">
        <f t="shared" si="54"/>
        <v>3.0764360262747648E-2</v>
      </c>
      <c r="J440" s="5">
        <f t="shared" si="51"/>
        <v>3.4724932704537803E-2</v>
      </c>
      <c r="K440" s="7">
        <f t="shared" si="52"/>
        <v>1.000241074917696E-4</v>
      </c>
      <c r="M440" s="7">
        <f t="shared" si="55"/>
        <v>9.9999337612954875E-5</v>
      </c>
    </row>
    <row r="441" spans="1:13" x14ac:dyDescent="0.25">
      <c r="A441">
        <f t="shared" si="48"/>
        <v>36.499999999999943</v>
      </c>
      <c r="B441" s="1">
        <v>56066</v>
      </c>
      <c r="C441" s="2">
        <v>915.93501745885055</v>
      </c>
      <c r="D441" s="2">
        <f t="shared" si="49"/>
        <v>-1.2538705171072362E-3</v>
      </c>
      <c r="E441" s="5">
        <f t="shared" si="53"/>
        <v>3.0646892751504673E-2</v>
      </c>
      <c r="F441" s="5">
        <f t="shared" si="50"/>
        <v>3.4508945357639709E-2</v>
      </c>
      <c r="G441" s="1">
        <v>56066</v>
      </c>
      <c r="H441" s="2">
        <v>919.1726563905097</v>
      </c>
      <c r="I441" s="5">
        <f t="shared" si="54"/>
        <v>3.0746892086039646E-2</v>
      </c>
      <c r="J441" s="5">
        <f t="shared" si="51"/>
        <v>3.4608959102010006E-2</v>
      </c>
      <c r="K441" s="7">
        <f t="shared" si="52"/>
        <v>1.0001374437029753E-4</v>
      </c>
      <c r="M441" s="7">
        <f t="shared" si="55"/>
        <v>9.9999334534972562E-5</v>
      </c>
    </row>
    <row r="442" spans="1:13" x14ac:dyDescent="0.25">
      <c r="A442">
        <f t="shared" si="48"/>
        <v>36.583333333333279</v>
      </c>
      <c r="B442" s="1">
        <v>56097</v>
      </c>
      <c r="C442" s="2">
        <v>919.33000377926317</v>
      </c>
      <c r="D442" s="2">
        <f t="shared" si="49"/>
        <v>3.7065798945339345E-3</v>
      </c>
      <c r="E442" s="5">
        <f t="shared" si="53"/>
        <v>3.0629424873933164E-2</v>
      </c>
      <c r="F442" s="5">
        <f t="shared" si="50"/>
        <v>3.4533618016840739E-2</v>
      </c>
      <c r="G442" s="1">
        <v>56097</v>
      </c>
      <c r="H442" s="2">
        <v>922.58710320567991</v>
      </c>
      <c r="I442" s="5">
        <f t="shared" si="54"/>
        <v>3.0729424205361511E-2</v>
      </c>
      <c r="J442" s="5">
        <f t="shared" si="51"/>
        <v>3.4633634990479889E-2</v>
      </c>
      <c r="K442" s="7">
        <f t="shared" si="52"/>
        <v>1.0001697363914985E-4</v>
      </c>
      <c r="M442" s="7">
        <f t="shared" si="55"/>
        <v>9.9999331428346494E-5</v>
      </c>
    </row>
    <row r="443" spans="1:13" x14ac:dyDescent="0.25">
      <c r="A443">
        <f t="shared" si="48"/>
        <v>36.666666666666615</v>
      </c>
      <c r="B443" s="1">
        <v>56128</v>
      </c>
      <c r="C443" s="2">
        <v>923.34449661782423</v>
      </c>
      <c r="D443" s="2">
        <f t="shared" si="49"/>
        <v>4.3667592943317235E-3</v>
      </c>
      <c r="E443" s="5">
        <f t="shared" si="53"/>
        <v>3.0611957292415282E-2</v>
      </c>
      <c r="F443" s="5">
        <f t="shared" si="50"/>
        <v>3.4576731498879854E-2</v>
      </c>
      <c r="G443" s="1">
        <v>56128</v>
      </c>
      <c r="H443" s="2">
        <v>926.62331157711287</v>
      </c>
      <c r="I443" s="5">
        <f t="shared" si="54"/>
        <v>3.0711956620708358E-2</v>
      </c>
      <c r="J443" s="5">
        <f t="shared" si="51"/>
        <v>3.4676753480834543E-2</v>
      </c>
      <c r="K443" s="7">
        <f t="shared" si="52"/>
        <v>1.0002198195468992E-4</v>
      </c>
      <c r="M443" s="7">
        <f t="shared" si="55"/>
        <v>9.9999328293076672E-5</v>
      </c>
    </row>
    <row r="444" spans="1:13" x14ac:dyDescent="0.25">
      <c r="A444">
        <f t="shared" si="48"/>
        <v>36.74999999999995</v>
      </c>
      <c r="B444" s="1">
        <v>56158</v>
      </c>
      <c r="C444" s="2">
        <v>924.31652469401342</v>
      </c>
      <c r="D444" s="2">
        <f t="shared" si="49"/>
        <v>1.0527252609937587E-3</v>
      </c>
      <c r="E444" s="5">
        <f t="shared" si="53"/>
        <v>3.0594490006945918E-2</v>
      </c>
      <c r="F444" s="5">
        <f t="shared" si="50"/>
        <v>3.4526607752976224E-2</v>
      </c>
      <c r="G444" s="1">
        <v>56158</v>
      </c>
      <c r="H444" s="2">
        <v>927.60629185657422</v>
      </c>
      <c r="I444" s="5">
        <f t="shared" si="54"/>
        <v>3.0694489332075525E-2</v>
      </c>
      <c r="J444" s="5">
        <f t="shared" si="51"/>
        <v>3.4626625725336257E-2</v>
      </c>
      <c r="K444" s="7">
        <f t="shared" si="52"/>
        <v>1.0001797236003362E-4</v>
      </c>
      <c r="M444" s="7">
        <f t="shared" si="55"/>
        <v>9.9999325129607186E-5</v>
      </c>
    </row>
    <row r="445" spans="1:13" x14ac:dyDescent="0.25">
      <c r="A445">
        <f t="shared" si="48"/>
        <v>36.833333333333286</v>
      </c>
      <c r="B445" s="1">
        <v>56189</v>
      </c>
      <c r="C445" s="2">
        <v>925.55720674254837</v>
      </c>
      <c r="D445" s="2">
        <f t="shared" si="49"/>
        <v>1.3422696829374914E-3</v>
      </c>
      <c r="E445" s="5">
        <f t="shared" si="53"/>
        <v>3.0577023017520188E-2</v>
      </c>
      <c r="F445" s="5">
        <f t="shared" si="50"/>
        <v>3.4484835482631926E-2</v>
      </c>
      <c r="G445" s="1">
        <v>56189</v>
      </c>
      <c r="H445" s="2">
        <v>928.85890030021358</v>
      </c>
      <c r="I445" s="5">
        <f t="shared" si="54"/>
        <v>3.067702233945746E-2</v>
      </c>
      <c r="J445" s="5">
        <f t="shared" si="51"/>
        <v>3.4584850248959187E-2</v>
      </c>
      <c r="K445" s="7">
        <f t="shared" si="52"/>
        <v>1.0001476632726103E-4</v>
      </c>
      <c r="M445" s="7">
        <f t="shared" si="55"/>
        <v>9.9999321937271901E-5</v>
      </c>
    </row>
    <row r="446" spans="1:13" x14ac:dyDescent="0.25">
      <c r="A446">
        <f t="shared" si="48"/>
        <v>36.916666666666622</v>
      </c>
      <c r="B446" s="1">
        <v>56219</v>
      </c>
      <c r="C446" s="2">
        <v>928.86761270811962</v>
      </c>
      <c r="D446" s="2">
        <f t="shared" si="49"/>
        <v>3.576662729710689E-3</v>
      </c>
      <c r="E446" s="5">
        <f t="shared" si="53"/>
        <v>3.0559556324133208E-2</v>
      </c>
      <c r="F446" s="5">
        <f t="shared" si="50"/>
        <v>3.4505711786125604E-2</v>
      </c>
      <c r="G446" s="1">
        <v>56219</v>
      </c>
      <c r="H446" s="2">
        <v>932.18865287443089</v>
      </c>
      <c r="I446" s="5">
        <f t="shared" si="54"/>
        <v>3.0659555642849501E-2</v>
      </c>
      <c r="J446" s="5">
        <f t="shared" si="51"/>
        <v>3.4605729399555418E-2</v>
      </c>
      <c r="K446" s="7">
        <f t="shared" si="52"/>
        <v>1.0001761342981474E-4</v>
      </c>
      <c r="M446" s="7">
        <f t="shared" si="55"/>
        <v>9.9999318716292862E-5</v>
      </c>
    </row>
    <row r="447" spans="1:13" x14ac:dyDescent="0.25">
      <c r="A447">
        <f t="shared" si="48"/>
        <v>36.999999999999957</v>
      </c>
      <c r="B447" s="1">
        <v>56250</v>
      </c>
      <c r="C447" s="2">
        <v>925.1645369237184</v>
      </c>
      <c r="D447" s="2">
        <f t="shared" si="49"/>
        <v>-3.9866561539430023E-3</v>
      </c>
      <c r="E447" s="5">
        <f t="shared" si="53"/>
        <v>3.0542089926778759E-2</v>
      </c>
      <c r="F447" s="5">
        <f t="shared" si="50"/>
        <v>3.4315000000000095E-2</v>
      </c>
      <c r="G447" s="1">
        <v>56250</v>
      </c>
      <c r="H447" s="2">
        <v>928.47984482019626</v>
      </c>
      <c r="I447" s="5">
        <f t="shared" si="54"/>
        <v>3.0642089242246762E-2</v>
      </c>
      <c r="J447" s="5">
        <f t="shared" si="51"/>
        <v>3.4415000000000084E-2</v>
      </c>
      <c r="K447" s="7">
        <f t="shared" si="52"/>
        <v>9.9999999999988987E-5</v>
      </c>
      <c r="M447" s="7">
        <f t="shared" si="55"/>
        <v>9.9999315468002337E-5</v>
      </c>
    </row>
    <row r="448" spans="1:13" x14ac:dyDescent="0.25">
      <c r="A448">
        <f t="shared" si="48"/>
        <v>37.083333333333293</v>
      </c>
      <c r="B448" s="1">
        <v>56281</v>
      </c>
      <c r="C448" s="2">
        <v>930.67936592386047</v>
      </c>
      <c r="D448" s="2">
        <f t="shared" si="49"/>
        <v>5.9609169829180075E-3</v>
      </c>
      <c r="E448" s="5">
        <f t="shared" si="53"/>
        <v>3.0524621164121912E-2</v>
      </c>
      <c r="F448" s="5">
        <f t="shared" si="50"/>
        <v>3.4402349335830973E-2</v>
      </c>
      <c r="G448" s="1">
        <v>56281</v>
      </c>
      <c r="H448" s="2">
        <v>934.02199001743668</v>
      </c>
      <c r="I448" s="5">
        <f t="shared" si="54"/>
        <v>3.0624620476570552E-2</v>
      </c>
      <c r="J448" s="5">
        <f t="shared" si="51"/>
        <v>3.4502358648012876E-2</v>
      </c>
      <c r="K448" s="7">
        <f t="shared" si="52"/>
        <v>1.0000931218190345E-4</v>
      </c>
      <c r="M448" s="7">
        <f t="shared" si="55"/>
        <v>9.9999312448639799E-5</v>
      </c>
    </row>
    <row r="449" spans="1:13" x14ac:dyDescent="0.25">
      <c r="A449">
        <f t="shared" si="48"/>
        <v>37.166666666666629</v>
      </c>
      <c r="B449" s="1">
        <v>56309</v>
      </c>
      <c r="C449" s="2">
        <v>934.41965496474722</v>
      </c>
      <c r="D449" s="2">
        <f t="shared" si="49"/>
        <v>4.0188803768888004E-3</v>
      </c>
      <c r="E449" s="5">
        <f t="shared" si="53"/>
        <v>3.0507152697578865E-2</v>
      </c>
      <c r="F449" s="5">
        <f t="shared" si="50"/>
        <v>3.4435529819995203E-2</v>
      </c>
      <c r="G449" s="1">
        <v>56309</v>
      </c>
      <c r="H449" s="2">
        <v>937.78329700630218</v>
      </c>
      <c r="I449" s="5">
        <f t="shared" si="54"/>
        <v>3.0607152006979499E-2</v>
      </c>
      <c r="J449" s="5">
        <f t="shared" si="51"/>
        <v>3.4535543203355168E-2</v>
      </c>
      <c r="K449" s="7">
        <f t="shared" si="52"/>
        <v>1.0001338335996479E-4</v>
      </c>
      <c r="M449" s="7">
        <f t="shared" si="55"/>
        <v>9.9999309400633507E-5</v>
      </c>
    </row>
    <row r="450" spans="1:13" x14ac:dyDescent="0.25">
      <c r="A450">
        <f t="shared" si="48"/>
        <v>37.249999999999964</v>
      </c>
      <c r="B450" s="1">
        <v>56340</v>
      </c>
      <c r="C450" s="2">
        <v>940.67628582934913</v>
      </c>
      <c r="D450" s="2">
        <f t="shared" si="49"/>
        <v>6.6957397903171234E-3</v>
      </c>
      <c r="E450" s="5">
        <f t="shared" si="53"/>
        <v>3.0489684527144512E-2</v>
      </c>
      <c r="F450" s="5">
        <f t="shared" si="50"/>
        <v>3.4542508431973262E-2</v>
      </c>
      <c r="G450" s="1">
        <v>56340</v>
      </c>
      <c r="H450" s="2">
        <v>944.07008512889149</v>
      </c>
      <c r="I450" s="5">
        <f t="shared" si="54"/>
        <v>3.0589683833468717E-2</v>
      </c>
      <c r="J450" s="5">
        <f t="shared" si="51"/>
        <v>3.4642533017864796E-2</v>
      </c>
      <c r="K450" s="7">
        <f t="shared" si="52"/>
        <v>1.0002458589153385E-4</v>
      </c>
      <c r="M450" s="7">
        <f t="shared" si="55"/>
        <v>9.9999306324205506E-5</v>
      </c>
    </row>
    <row r="451" spans="1:13" x14ac:dyDescent="0.25">
      <c r="A451">
        <f t="shared" si="48"/>
        <v>37.3333333333333</v>
      </c>
      <c r="B451" s="1">
        <v>56370</v>
      </c>
      <c r="C451" s="2">
        <v>943.72935841336016</v>
      </c>
      <c r="D451" s="2">
        <f t="shared" si="49"/>
        <v>3.2456144903443285E-3</v>
      </c>
      <c r="E451" s="5">
        <f t="shared" si="53"/>
        <v>3.0472216652813744E-2</v>
      </c>
      <c r="F451" s="5">
        <f t="shared" si="50"/>
        <v>3.4553881529883812E-2</v>
      </c>
      <c r="G451" s="1">
        <v>56370</v>
      </c>
      <c r="H451" s="2">
        <v>947.14183270603723</v>
      </c>
      <c r="I451" s="5">
        <f t="shared" si="54"/>
        <v>3.0572215956032878E-2</v>
      </c>
      <c r="J451" s="5">
        <f t="shared" si="51"/>
        <v>3.4653908070964023E-2</v>
      </c>
      <c r="K451" s="7">
        <f t="shared" si="52"/>
        <v>1.0002654108021147E-4</v>
      </c>
      <c r="M451" s="7">
        <f t="shared" si="55"/>
        <v>9.9999303219133751E-5</v>
      </c>
    </row>
    <row r="452" spans="1:13" x14ac:dyDescent="0.25">
      <c r="A452">
        <f t="shared" si="48"/>
        <v>37.416666666666636</v>
      </c>
      <c r="B452" s="1">
        <v>56401</v>
      </c>
      <c r="C452" s="2">
        <v>945.01451442205462</v>
      </c>
      <c r="D452" s="2">
        <f t="shared" si="49"/>
        <v>1.3617844959863401E-3</v>
      </c>
      <c r="E452" s="5">
        <f t="shared" si="53"/>
        <v>3.0454749074581677E-2</v>
      </c>
      <c r="F452" s="5">
        <f t="shared" si="50"/>
        <v>3.4513237484699033E-2</v>
      </c>
      <c r="G452" s="1">
        <v>56401</v>
      </c>
      <c r="H452" s="2">
        <v>948.4393062916115</v>
      </c>
      <c r="I452" s="5">
        <f t="shared" si="54"/>
        <v>3.0554748374667096E-2</v>
      </c>
      <c r="J452" s="5">
        <f t="shared" si="51"/>
        <v>3.4613260947820246E-2</v>
      </c>
      <c r="K452" s="7">
        <f t="shared" si="52"/>
        <v>1.0002346312121269E-4</v>
      </c>
      <c r="M452" s="7">
        <f t="shared" si="55"/>
        <v>9.9999300085418241E-5</v>
      </c>
    </row>
    <row r="453" spans="1:13" x14ac:dyDescent="0.25">
      <c r="A453">
        <f t="shared" ref="A453:A516" si="56">A452+1/12</f>
        <v>37.499999999999972</v>
      </c>
      <c r="B453" s="1">
        <v>56431</v>
      </c>
      <c r="C453" s="2">
        <v>943.81358968881204</v>
      </c>
      <c r="D453" s="2">
        <f t="shared" ref="D453:D516" si="57">C453/C452-1</f>
        <v>-1.2708003050905248E-3</v>
      </c>
      <c r="E453" s="5">
        <f t="shared" si="53"/>
        <v>3.0437281792443205E-2</v>
      </c>
      <c r="F453" s="5">
        <f t="shared" ref="F453:F516" si="58">(C453/$C$3)^(1/A453)-1</f>
        <v>3.4400159148172849E-2</v>
      </c>
      <c r="G453" s="1">
        <v>56431</v>
      </c>
      <c r="H453" s="2">
        <v>947.2416901683664</v>
      </c>
      <c r="I453" s="5">
        <f t="shared" si="54"/>
        <v>3.0537281089366486E-2</v>
      </c>
      <c r="J453" s="5">
        <f t="shared" ref="J453:J516" si="59">(H453/$H$3)^(1/A453)-1</f>
        <v>3.4500172526005457E-2</v>
      </c>
      <c r="K453" s="7">
        <f t="shared" ref="K453:K516" si="60">J453-F453</f>
        <v>1.0001337783260844E-4</v>
      </c>
      <c r="M453" s="7">
        <f t="shared" si="55"/>
        <v>9.9999296923281022E-5</v>
      </c>
    </row>
    <row r="454" spans="1:13" x14ac:dyDescent="0.25">
      <c r="A454">
        <f t="shared" si="56"/>
        <v>37.583333333333307</v>
      </c>
      <c r="B454" s="1">
        <v>56462</v>
      </c>
      <c r="C454" s="2">
        <v>947.29585224018933</v>
      </c>
      <c r="D454" s="2">
        <f t="shared" si="57"/>
        <v>3.6895660217453052E-3</v>
      </c>
      <c r="E454" s="5">
        <f t="shared" si="53"/>
        <v>3.0419814806393441E-2</v>
      </c>
      <c r="F454" s="5">
        <f t="shared" si="58"/>
        <v>3.4423947443935621E-2</v>
      </c>
      <c r="G454" s="1">
        <v>56462</v>
      </c>
      <c r="H454" s="2">
        <v>950.74429008669085</v>
      </c>
      <c r="I454" s="5">
        <f t="shared" si="54"/>
        <v>3.0519814100125719E-2</v>
      </c>
      <c r="J454" s="5">
        <f t="shared" si="59"/>
        <v>3.452396396591384E-2</v>
      </c>
      <c r="K454" s="7">
        <f t="shared" si="60"/>
        <v>1.0001652197821898E-4</v>
      </c>
      <c r="M454" s="7">
        <f t="shared" si="55"/>
        <v>9.9999293732278005E-5</v>
      </c>
    </row>
    <row r="455" spans="1:13" x14ac:dyDescent="0.25">
      <c r="A455">
        <f t="shared" si="56"/>
        <v>37.666666666666643</v>
      </c>
      <c r="B455" s="1">
        <v>56493</v>
      </c>
      <c r="C455" s="2">
        <v>951.41633743538671</v>
      </c>
      <c r="D455" s="2">
        <f t="shared" si="57"/>
        <v>4.3497342308140841E-3</v>
      </c>
      <c r="E455" s="5">
        <f t="shared" si="53"/>
        <v>3.040234811642728E-2</v>
      </c>
      <c r="F455" s="5">
        <f t="shared" si="58"/>
        <v>3.4465688936717642E-2</v>
      </c>
      <c r="G455" s="1">
        <v>56493</v>
      </c>
      <c r="H455" s="2">
        <v>954.8874977422073</v>
      </c>
      <c r="I455" s="5">
        <f t="shared" si="54"/>
        <v>3.0502347406940133E-2</v>
      </c>
      <c r="J455" s="5">
        <f t="shared" si="59"/>
        <v>3.4565710335021205E-2</v>
      </c>
      <c r="K455" s="7">
        <f t="shared" si="60"/>
        <v>1.0002139830356249E-4</v>
      </c>
      <c r="M455" s="7">
        <f t="shared" si="55"/>
        <v>9.9999290512853278E-5</v>
      </c>
    </row>
    <row r="456" spans="1:13" x14ac:dyDescent="0.25">
      <c r="A456">
        <f t="shared" si="56"/>
        <v>37.749999999999979</v>
      </c>
      <c r="B456" s="1">
        <v>56523</v>
      </c>
      <c r="C456" s="2">
        <v>952.40177297103014</v>
      </c>
      <c r="D456" s="2">
        <f t="shared" si="57"/>
        <v>1.0357563738077058E-3</v>
      </c>
      <c r="E456" s="5">
        <f t="shared" si="53"/>
        <v>3.0384881722539836E-2</v>
      </c>
      <c r="F456" s="5">
        <f t="shared" si="58"/>
        <v>3.4416678788029342E-2</v>
      </c>
      <c r="G456" s="1">
        <v>56523</v>
      </c>
      <c r="H456" s="2">
        <v>955.88425928776769</v>
      </c>
      <c r="I456" s="5">
        <f t="shared" si="54"/>
        <v>3.0484881009804399E-2</v>
      </c>
      <c r="J456" s="5">
        <f t="shared" si="59"/>
        <v>3.451669628426135E-2</v>
      </c>
      <c r="K456" s="7">
        <f t="shared" si="60"/>
        <v>1.0001749623200773E-4</v>
      </c>
      <c r="M456" s="7">
        <f t="shared" si="55"/>
        <v>9.9999287264562753E-5</v>
      </c>
    </row>
    <row r="457" spans="1:13" x14ac:dyDescent="0.25">
      <c r="A457">
        <f t="shared" si="56"/>
        <v>37.833333333333314</v>
      </c>
      <c r="B457" s="1">
        <v>56554</v>
      </c>
      <c r="C457" s="2">
        <v>953.66398712415969</v>
      </c>
      <c r="D457" s="2">
        <f t="shared" si="57"/>
        <v>1.325295887671496E-3</v>
      </c>
      <c r="E457" s="5">
        <f t="shared" si="53"/>
        <v>3.0367415624726002E-2</v>
      </c>
      <c r="F457" s="5">
        <f t="shared" si="58"/>
        <v>3.4375793591078452E-2</v>
      </c>
      <c r="G457" s="1">
        <v>56554</v>
      </c>
      <c r="H457" s="2">
        <v>957.15882980731158</v>
      </c>
      <c r="I457" s="5">
        <f t="shared" si="54"/>
        <v>3.046741490871363E-2</v>
      </c>
      <c r="J457" s="5">
        <f t="shared" si="59"/>
        <v>3.4475807967080163E-2</v>
      </c>
      <c r="K457" s="7">
        <f t="shared" si="60"/>
        <v>1.0001437600171137E-4</v>
      </c>
      <c r="M457" s="7">
        <f t="shared" si="55"/>
        <v>9.9999283987628473E-5</v>
      </c>
    </row>
    <row r="458" spans="1:13" x14ac:dyDescent="0.25">
      <c r="A458">
        <f t="shared" si="56"/>
        <v>37.91666666666665</v>
      </c>
      <c r="B458" s="1">
        <v>56584</v>
      </c>
      <c r="C458" s="2">
        <v>957.0586981460026</v>
      </c>
      <c r="D458" s="2">
        <f t="shared" si="57"/>
        <v>3.5596510591533459E-3</v>
      </c>
      <c r="E458" s="5">
        <f t="shared" si="53"/>
        <v>3.0349949822980449E-2</v>
      </c>
      <c r="F458" s="5">
        <f t="shared" si="58"/>
        <v>3.4395894365951474E-2</v>
      </c>
      <c r="G458" s="1">
        <v>56584</v>
      </c>
      <c r="H458" s="2">
        <v>960.57374990946914</v>
      </c>
      <c r="I458" s="5">
        <f t="shared" si="54"/>
        <v>3.0449949103662721E-2</v>
      </c>
      <c r="J458" s="5">
        <f t="shared" si="59"/>
        <v>3.4495911514812461E-2</v>
      </c>
      <c r="K458" s="7">
        <f t="shared" si="60"/>
        <v>1.0001714886098689E-4</v>
      </c>
      <c r="M458" s="7">
        <f t="shared" si="55"/>
        <v>9.9999280682272484E-5</v>
      </c>
    </row>
    <row r="459" spans="1:13" x14ac:dyDescent="0.25">
      <c r="A459">
        <f t="shared" si="56"/>
        <v>37.999999999999986</v>
      </c>
      <c r="B459" s="1">
        <v>56615</v>
      </c>
      <c r="C459" s="2">
        <v>953.22707573087928</v>
      </c>
      <c r="D459" s="2">
        <f t="shared" si="57"/>
        <v>-4.0035396183597527E-3</v>
      </c>
      <c r="E459" s="5">
        <f t="shared" si="53"/>
        <v>3.0332484317300068E-2</v>
      </c>
      <c r="F459" s="5">
        <f t="shared" si="58"/>
        <v>3.4210000000000074E-2</v>
      </c>
      <c r="G459" s="1">
        <v>56615</v>
      </c>
      <c r="H459" s="2">
        <v>956.73579246564702</v>
      </c>
      <c r="I459" s="5">
        <f t="shared" si="54"/>
        <v>3.0432483594646786E-2</v>
      </c>
      <c r="J459" s="5">
        <f t="shared" si="59"/>
        <v>3.4310000000000063E-2</v>
      </c>
      <c r="K459" s="7">
        <f t="shared" si="60"/>
        <v>9.9999999999988987E-5</v>
      </c>
      <c r="M459" s="7">
        <f t="shared" si="55"/>
        <v>9.9999277346718429E-5</v>
      </c>
    </row>
    <row r="460" spans="1:13" x14ac:dyDescent="0.25">
      <c r="A460">
        <f t="shared" si="56"/>
        <v>38.083333333333321</v>
      </c>
      <c r="B460" s="1">
        <v>56646</v>
      </c>
      <c r="C460" s="2">
        <v>958.89292620795243</v>
      </c>
      <c r="D460" s="2">
        <f t="shared" si="57"/>
        <v>5.9438622982135314E-3</v>
      </c>
      <c r="E460" s="5">
        <f t="shared" si="53"/>
        <v>3.0315016446168963E-2</v>
      </c>
      <c r="F460" s="5">
        <f t="shared" si="58"/>
        <v>3.4294816293833685E-2</v>
      </c>
      <c r="G460" s="1">
        <v>56646</v>
      </c>
      <c r="H460" s="2">
        <v>962.43028352702515</v>
      </c>
      <c r="I460" s="5">
        <f t="shared" si="54"/>
        <v>3.04150157204095E-2</v>
      </c>
      <c r="J460" s="5">
        <f t="shared" si="59"/>
        <v>3.4394825361484305E-2</v>
      </c>
      <c r="K460" s="7">
        <f t="shared" si="60"/>
        <v>1.0000906765061934E-4</v>
      </c>
      <c r="M460" s="7">
        <f t="shared" si="55"/>
        <v>9.9999274240536451E-5</v>
      </c>
    </row>
    <row r="461" spans="1:13" x14ac:dyDescent="0.25">
      <c r="A461">
        <f t="shared" si="56"/>
        <v>38.166666666666657</v>
      </c>
      <c r="B461" s="1">
        <v>56674</v>
      </c>
      <c r="C461" s="2">
        <v>962.7302801272341</v>
      </c>
      <c r="D461" s="2">
        <f t="shared" si="57"/>
        <v>4.0018586167456238E-3</v>
      </c>
      <c r="E461" s="5">
        <f t="shared" si="53"/>
        <v>3.0297548871181412E-2</v>
      </c>
      <c r="F461" s="5">
        <f t="shared" si="58"/>
        <v>3.4326899379463205E-2</v>
      </c>
      <c r="G461" s="1">
        <v>56674</v>
      </c>
      <c r="H461" s="2">
        <v>966.28960992408429</v>
      </c>
      <c r="I461" s="5">
        <f t="shared" si="54"/>
        <v>3.0397548142287345E-2</v>
      </c>
      <c r="J461" s="5">
        <f t="shared" si="59"/>
        <v>3.4426912412146127E-2</v>
      </c>
      <c r="K461" s="7">
        <f t="shared" si="60"/>
        <v>1.0001303268292183E-4</v>
      </c>
      <c r="M461" s="7">
        <f t="shared" si="55"/>
        <v>9.9999271105932763E-5</v>
      </c>
    </row>
    <row r="462" spans="1:13" x14ac:dyDescent="0.25">
      <c r="A462">
        <f t="shared" si="56"/>
        <v>38.249999999999993</v>
      </c>
      <c r="B462" s="1">
        <v>56705</v>
      </c>
      <c r="C462" s="2">
        <v>969.16004051623429</v>
      </c>
      <c r="D462" s="2">
        <f t="shared" si="57"/>
        <v>6.6786726477019442E-3</v>
      </c>
      <c r="E462" s="5">
        <f t="shared" si="53"/>
        <v>3.0280081592332753E-2</v>
      </c>
      <c r="F462" s="5">
        <f t="shared" si="58"/>
        <v>3.4430848265772473E-2</v>
      </c>
      <c r="G462" s="1">
        <v>56705</v>
      </c>
      <c r="H462" s="2">
        <v>972.75101065287436</v>
      </c>
      <c r="I462" s="5">
        <f t="shared" si="54"/>
        <v>3.0380080860275438E-2</v>
      </c>
      <c r="J462" s="5">
        <f t="shared" si="59"/>
        <v>3.4530872208821117E-2</v>
      </c>
      <c r="K462" s="7">
        <f t="shared" si="60"/>
        <v>1.0002394304864382E-4</v>
      </c>
      <c r="M462" s="7">
        <f t="shared" si="55"/>
        <v>9.9999267942685321E-5</v>
      </c>
    </row>
    <row r="463" spans="1:13" x14ac:dyDescent="0.25">
      <c r="A463">
        <f t="shared" si="56"/>
        <v>38.333333333333329</v>
      </c>
      <c r="B463" s="1">
        <v>56735</v>
      </c>
      <c r="C463" s="2">
        <v>972.28907628280535</v>
      </c>
      <c r="D463" s="2">
        <f t="shared" si="57"/>
        <v>3.2286058398613982E-3</v>
      </c>
      <c r="E463" s="5">
        <f t="shared" si="53"/>
        <v>3.0262614609617655E-2</v>
      </c>
      <c r="F463" s="5">
        <f t="shared" si="58"/>
        <v>3.4441708701150375E-2</v>
      </c>
      <c r="G463" s="1">
        <v>56735</v>
      </c>
      <c r="H463" s="2">
        <v>975.89953445675246</v>
      </c>
      <c r="I463" s="5">
        <f t="shared" si="54"/>
        <v>3.0362613874368671E-2</v>
      </c>
      <c r="J463" s="5">
        <f t="shared" si="59"/>
        <v>3.4541734549768055E-2</v>
      </c>
      <c r="K463" s="7">
        <f t="shared" si="60"/>
        <v>1.0002584861767971E-4</v>
      </c>
      <c r="M463" s="7">
        <f t="shared" si="55"/>
        <v>9.999926475101617E-5</v>
      </c>
    </row>
    <row r="464" spans="1:13" x14ac:dyDescent="0.25">
      <c r="A464">
        <f t="shared" si="56"/>
        <v>38.416666666666664</v>
      </c>
      <c r="B464" s="1">
        <v>56766</v>
      </c>
      <c r="C464" s="2">
        <v>973.59661820016117</v>
      </c>
      <c r="D464" s="2">
        <f t="shared" si="57"/>
        <v>1.3448077832518557E-3</v>
      </c>
      <c r="E464" s="5">
        <f t="shared" ref="E464:E527" si="61">C464/C452-1</f>
        <v>3.0245147923031235E-2</v>
      </c>
      <c r="F464" s="5">
        <f t="shared" si="58"/>
        <v>3.440191371494139E-2</v>
      </c>
      <c r="G464" s="1">
        <v>56766</v>
      </c>
      <c r="H464" s="2">
        <v>977.21983663665401</v>
      </c>
      <c r="I464" s="5">
        <f t="shared" ref="I464:I527" si="62">H464/H452-1</f>
        <v>3.0345147184561716E-2</v>
      </c>
      <c r="J464" s="5">
        <f t="shared" si="59"/>
        <v>3.4501936567242542E-2</v>
      </c>
      <c r="K464" s="7">
        <f t="shared" si="60"/>
        <v>1.0002285230115149E-4</v>
      </c>
      <c r="M464" s="7">
        <f t="shared" ref="M464:M527" si="63">I464-E464</f>
        <v>9.999926153048122E-5</v>
      </c>
    </row>
    <row r="465" spans="1:13" x14ac:dyDescent="0.25">
      <c r="A465">
        <f t="shared" si="56"/>
        <v>38.5</v>
      </c>
      <c r="B465" s="1">
        <v>56796</v>
      </c>
      <c r="C465" s="2">
        <v>972.3428863040358</v>
      </c>
      <c r="D465" s="2">
        <f t="shared" si="57"/>
        <v>-1.2877323859681322E-3</v>
      </c>
      <c r="E465" s="5">
        <f t="shared" si="61"/>
        <v>3.0227681532568607E-2</v>
      </c>
      <c r="F465" s="5">
        <f t="shared" si="58"/>
        <v>3.4291569637654007E-2</v>
      </c>
      <c r="G465" s="1">
        <v>56796</v>
      </c>
      <c r="H465" s="2">
        <v>975.96933377957748</v>
      </c>
      <c r="I465" s="5">
        <f t="shared" si="62"/>
        <v>3.0327680790849687E-2</v>
      </c>
      <c r="J465" s="5">
        <f t="shared" si="59"/>
        <v>3.4391582667991027E-2</v>
      </c>
      <c r="K465" s="7">
        <f t="shared" si="60"/>
        <v>1.0001303033702058E-4</v>
      </c>
      <c r="M465" s="7">
        <f t="shared" si="63"/>
        <v>9.9999258281080472E-5</v>
      </c>
    </row>
    <row r="466" spans="1:13" x14ac:dyDescent="0.25">
      <c r="A466">
        <f t="shared" si="56"/>
        <v>38.583333333333336</v>
      </c>
      <c r="B466" s="1">
        <v>56827</v>
      </c>
      <c r="C466" s="2">
        <v>975.91386402010187</v>
      </c>
      <c r="D466" s="2">
        <f t="shared" si="57"/>
        <v>3.6725498446743554E-3</v>
      </c>
      <c r="E466" s="5">
        <f t="shared" si="61"/>
        <v>3.0210215438224441E-2</v>
      </c>
      <c r="F466" s="5">
        <f t="shared" si="58"/>
        <v>3.4314518993557419E-2</v>
      </c>
      <c r="G466" s="1">
        <v>56827</v>
      </c>
      <c r="H466" s="2">
        <v>979.56155363757875</v>
      </c>
      <c r="I466" s="5">
        <f t="shared" si="62"/>
        <v>3.0310214693227699E-2</v>
      </c>
      <c r="J466" s="5">
        <f t="shared" si="59"/>
        <v>3.4414535087289089E-2</v>
      </c>
      <c r="K466" s="7">
        <f t="shared" si="60"/>
        <v>1.0001609373166964E-4</v>
      </c>
      <c r="M466" s="7">
        <f t="shared" si="63"/>
        <v>9.9999255003258014E-5</v>
      </c>
    </row>
    <row r="467" spans="1:13" x14ac:dyDescent="0.25">
      <c r="A467">
        <f t="shared" si="56"/>
        <v>38.666666666666671</v>
      </c>
      <c r="B467" s="1">
        <v>56858</v>
      </c>
      <c r="C467" s="2">
        <v>980.14221271497343</v>
      </c>
      <c r="D467" s="2">
        <f t="shared" si="57"/>
        <v>4.3327068614986697E-3</v>
      </c>
      <c r="E467" s="5">
        <f t="shared" si="61"/>
        <v>3.0192749639994076E-2</v>
      </c>
      <c r="F467" s="5">
        <f t="shared" si="58"/>
        <v>3.435495895334828E-2</v>
      </c>
      <c r="G467" s="1">
        <v>56858</v>
      </c>
      <c r="H467" s="2">
        <v>983.81366493112682</v>
      </c>
      <c r="I467" s="5">
        <f t="shared" si="62"/>
        <v>3.0292748891690646E-2</v>
      </c>
      <c r="J467" s="5">
        <f t="shared" si="59"/>
        <v>3.4454979798192786E-2</v>
      </c>
      <c r="K467" s="7">
        <f t="shared" si="60"/>
        <v>1.0002084484450613E-4</v>
      </c>
      <c r="M467" s="7">
        <f t="shared" si="63"/>
        <v>9.9999251696569758E-5</v>
      </c>
    </row>
    <row r="468" spans="1:13" x14ac:dyDescent="0.25">
      <c r="A468">
        <f t="shared" si="56"/>
        <v>38.750000000000007</v>
      </c>
      <c r="B468" s="1">
        <v>56888</v>
      </c>
      <c r="C468" s="2">
        <v>981.14076708384425</v>
      </c>
      <c r="D468" s="2">
        <f t="shared" si="57"/>
        <v>1.0187851884317922E-3</v>
      </c>
      <c r="E468" s="5">
        <f t="shared" si="61"/>
        <v>3.0175284137872183E-2</v>
      </c>
      <c r="F468" s="5">
        <f t="shared" si="58"/>
        <v>3.4307004242884576E-2</v>
      </c>
      <c r="G468" s="1">
        <v>56888</v>
      </c>
      <c r="H468" s="2">
        <v>984.82392612214505</v>
      </c>
      <c r="I468" s="5">
        <f t="shared" si="62"/>
        <v>3.0275283386233864E-2</v>
      </c>
      <c r="J468" s="5">
        <f t="shared" si="59"/>
        <v>3.4407021287564898E-2</v>
      </c>
      <c r="K468" s="7">
        <f t="shared" si="60"/>
        <v>1.000170446803228E-4</v>
      </c>
      <c r="M468" s="7">
        <f t="shared" si="63"/>
        <v>9.9999248361681836E-5</v>
      </c>
    </row>
    <row r="469" spans="1:13" x14ac:dyDescent="0.25">
      <c r="A469">
        <f t="shared" si="56"/>
        <v>38.833333333333343</v>
      </c>
      <c r="B469" s="1">
        <v>56919</v>
      </c>
      <c r="C469" s="2">
        <v>982.42441296968013</v>
      </c>
      <c r="D469" s="2">
        <f t="shared" si="57"/>
        <v>1.3083197935512825E-3</v>
      </c>
      <c r="E469" s="5">
        <f t="shared" si="61"/>
        <v>3.0157818931854097E-2</v>
      </c>
      <c r="F469" s="5">
        <f t="shared" si="58"/>
        <v>3.4266959880148606E-2</v>
      </c>
      <c r="G469" s="1">
        <v>56919</v>
      </c>
      <c r="H469" s="2">
        <v>986.12036764598952</v>
      </c>
      <c r="I469" s="5">
        <f t="shared" si="62"/>
        <v>3.0257818176851803E-2</v>
      </c>
      <c r="J469" s="5">
        <f t="shared" si="59"/>
        <v>3.4366973885928687E-2</v>
      </c>
      <c r="K469" s="7">
        <f t="shared" si="60"/>
        <v>1.0001400578008024E-4</v>
      </c>
      <c r="M469" s="7">
        <f t="shared" si="63"/>
        <v>9.9999244997706072E-5</v>
      </c>
    </row>
    <row r="470" spans="1:13" x14ac:dyDescent="0.25">
      <c r="A470">
        <f t="shared" si="56"/>
        <v>38.916666666666679</v>
      </c>
      <c r="B470" s="1">
        <v>56949</v>
      </c>
      <c r="C470" s="2">
        <v>985.90478612789479</v>
      </c>
      <c r="D470" s="2">
        <f t="shared" si="57"/>
        <v>3.5426370846121102E-3</v>
      </c>
      <c r="E470" s="5">
        <f t="shared" si="61"/>
        <v>3.014035402193449E-2</v>
      </c>
      <c r="F470" s="5">
        <f t="shared" si="58"/>
        <v>3.4286324542629032E-2</v>
      </c>
      <c r="G470" s="1">
        <v>56949</v>
      </c>
      <c r="H470" s="2">
        <v>989.62183944241474</v>
      </c>
      <c r="I470" s="5">
        <f t="shared" si="62"/>
        <v>3.0240353263540021E-2</v>
      </c>
      <c r="J470" s="5">
        <f t="shared" si="59"/>
        <v>3.4386341250798313E-2</v>
      </c>
      <c r="K470" s="7">
        <f t="shared" si="60"/>
        <v>1.0001670816928154E-4</v>
      </c>
      <c r="M470" s="7">
        <f t="shared" si="63"/>
        <v>9.9999241605530642E-5</v>
      </c>
    </row>
    <row r="471" spans="1:13" x14ac:dyDescent="0.25">
      <c r="A471">
        <f t="shared" si="56"/>
        <v>39.000000000000014</v>
      </c>
      <c r="B471" s="1">
        <v>56980</v>
      </c>
      <c r="C471" s="2">
        <v>981.94102951393518</v>
      </c>
      <c r="D471" s="2">
        <f t="shared" si="57"/>
        <v>-4.0204253693981729E-3</v>
      </c>
      <c r="E471" s="5">
        <f t="shared" si="61"/>
        <v>3.0122889408108477E-2</v>
      </c>
      <c r="F471" s="5">
        <f t="shared" si="58"/>
        <v>3.4105000000000052E-2</v>
      </c>
      <c r="G471" s="1">
        <v>56980</v>
      </c>
      <c r="H471" s="2">
        <v>985.65111178525933</v>
      </c>
      <c r="I471" s="5">
        <f t="shared" si="62"/>
        <v>3.0222888646293189E-2</v>
      </c>
      <c r="J471" s="5">
        <f t="shared" si="59"/>
        <v>3.4205000000000041E-2</v>
      </c>
      <c r="K471" s="7">
        <f t="shared" si="60"/>
        <v>9.9999999999988987E-5</v>
      </c>
      <c r="M471" s="7">
        <f t="shared" si="63"/>
        <v>9.9999238184711459E-5</v>
      </c>
    </row>
    <row r="472" spans="1:13" x14ac:dyDescent="0.25">
      <c r="A472">
        <f t="shared" si="56"/>
        <v>39.08333333333335</v>
      </c>
      <c r="B472" s="1">
        <v>57011</v>
      </c>
      <c r="C472" s="2">
        <v>987.76080281531779</v>
      </c>
      <c r="D472" s="2">
        <f t="shared" si="57"/>
        <v>5.9268053034340351E-3</v>
      </c>
      <c r="E472" s="5">
        <f t="shared" si="61"/>
        <v>3.0105422428681861E-2</v>
      </c>
      <c r="F472" s="5">
        <f t="shared" si="58"/>
        <v>3.4187412880166024E-2</v>
      </c>
      <c r="G472" s="1">
        <v>57011</v>
      </c>
      <c r="H472" s="2">
        <v>991.50089606284882</v>
      </c>
      <c r="I472" s="5">
        <f t="shared" si="62"/>
        <v>3.0205421663674681E-2</v>
      </c>
      <c r="J472" s="5">
        <f t="shared" si="59"/>
        <v>3.4287421715799349E-2</v>
      </c>
      <c r="K472" s="7">
        <f t="shared" si="60"/>
        <v>1.0000883563332508E-4</v>
      </c>
      <c r="M472" s="7">
        <f t="shared" si="63"/>
        <v>9.9999234992820263E-5</v>
      </c>
    </row>
    <row r="473" spans="1:13" x14ac:dyDescent="0.25">
      <c r="A473">
        <f t="shared" si="56"/>
        <v>39.166666666666686</v>
      </c>
      <c r="B473" s="1">
        <v>57040</v>
      </c>
      <c r="C473" s="2">
        <v>991.69686619048707</v>
      </c>
      <c r="D473" s="2">
        <f t="shared" si="57"/>
        <v>3.984834550987193E-3</v>
      </c>
      <c r="E473" s="5">
        <f t="shared" si="61"/>
        <v>3.0087955745429218E-2</v>
      </c>
      <c r="F473" s="5">
        <f t="shared" si="58"/>
        <v>3.4218454334862258E-2</v>
      </c>
      <c r="G473" s="1">
        <v>57040</v>
      </c>
      <c r="H473" s="2">
        <v>995.4599171634095</v>
      </c>
      <c r="I473" s="5">
        <f t="shared" si="62"/>
        <v>3.0187954977200837E-2</v>
      </c>
      <c r="J473" s="5">
        <f t="shared" si="59"/>
        <v>3.4318467034776701E-2</v>
      </c>
      <c r="K473" s="7">
        <f t="shared" si="60"/>
        <v>1.0001269991444239E-4</v>
      </c>
      <c r="M473" s="7">
        <f t="shared" si="63"/>
        <v>9.9999231771619179E-5</v>
      </c>
    </row>
    <row r="474" spans="1:13" x14ac:dyDescent="0.25">
      <c r="A474">
        <f t="shared" si="56"/>
        <v>39.250000000000021</v>
      </c>
      <c r="B474" s="1">
        <v>57071</v>
      </c>
      <c r="C474" s="2">
        <v>998.30315720111128</v>
      </c>
      <c r="D474" s="2">
        <f t="shared" si="57"/>
        <v>6.6616031933242059E-3</v>
      </c>
      <c r="E474" s="5">
        <f t="shared" si="61"/>
        <v>3.0070489358345442E-2</v>
      </c>
      <c r="F474" s="5">
        <f t="shared" si="58"/>
        <v>3.4319527510598524E-2</v>
      </c>
      <c r="G474" s="1">
        <v>57071</v>
      </c>
      <c r="H474" s="2">
        <v>1002.0993839176407</v>
      </c>
      <c r="I474" s="5">
        <f t="shared" si="62"/>
        <v>3.0170488586867439E-2</v>
      </c>
      <c r="J474" s="5">
        <f t="shared" si="59"/>
        <v>3.4419550843564739E-2</v>
      </c>
      <c r="K474" s="7">
        <f t="shared" si="60"/>
        <v>1.000233329662148E-4</v>
      </c>
      <c r="M474" s="7">
        <f t="shared" si="63"/>
        <v>9.9999228521996386E-5</v>
      </c>
    </row>
    <row r="475" spans="1:13" x14ac:dyDescent="0.25">
      <c r="A475">
        <f t="shared" si="56"/>
        <v>39.333333333333357</v>
      </c>
      <c r="B475" s="1">
        <v>57101</v>
      </c>
      <c r="C475" s="2">
        <v>1001.509302514996</v>
      </c>
      <c r="D475" s="2">
        <f t="shared" si="57"/>
        <v>3.2115948855391263E-3</v>
      </c>
      <c r="E475" s="5">
        <f t="shared" si="61"/>
        <v>3.0053023267425205E-2</v>
      </c>
      <c r="F475" s="5">
        <f t="shared" si="58"/>
        <v>3.4329900638344624E-2</v>
      </c>
      <c r="G475" s="1">
        <v>57101</v>
      </c>
      <c r="H475" s="2">
        <v>1005.3258550698122</v>
      </c>
      <c r="I475" s="5">
        <f t="shared" si="62"/>
        <v>3.0153022492669157E-2</v>
      </c>
      <c r="J475" s="5">
        <f t="shared" si="59"/>
        <v>3.442992582971427E-2</v>
      </c>
      <c r="K475" s="7">
        <f t="shared" si="60"/>
        <v>1.0002519136964594E-4</v>
      </c>
      <c r="M475" s="7">
        <f t="shared" si="63"/>
        <v>9.9999225243951884E-5</v>
      </c>
    </row>
    <row r="476" spans="1:13" x14ac:dyDescent="0.25">
      <c r="A476">
        <f t="shared" si="56"/>
        <v>39.416666666666693</v>
      </c>
      <c r="B476" s="1">
        <v>57132</v>
      </c>
      <c r="C476" s="2">
        <v>1002.8391353813034</v>
      </c>
      <c r="D476" s="2">
        <f t="shared" si="57"/>
        <v>1.3278287710039027E-3</v>
      </c>
      <c r="E476" s="5">
        <f t="shared" si="61"/>
        <v>3.0035557472664065E-2</v>
      </c>
      <c r="F476" s="5">
        <f t="shared" si="58"/>
        <v>3.4290910848615574E-2</v>
      </c>
      <c r="G476" s="1">
        <v>57132</v>
      </c>
      <c r="H476" s="2">
        <v>1006.6689004267064</v>
      </c>
      <c r="I476" s="5">
        <f t="shared" si="62"/>
        <v>3.0135556694600663E-2</v>
      </c>
      <c r="J476" s="5">
        <f t="shared" si="59"/>
        <v>3.4390933121092981E-2</v>
      </c>
      <c r="K476" s="7">
        <f t="shared" si="60"/>
        <v>1.0002227247740691E-4</v>
      </c>
      <c r="M476" s="7">
        <f t="shared" si="63"/>
        <v>9.9999221936597493E-5</v>
      </c>
    </row>
    <row r="477" spans="1:13" x14ac:dyDescent="0.25">
      <c r="A477">
        <f t="shared" si="56"/>
        <v>39.500000000000028</v>
      </c>
      <c r="B477" s="1">
        <v>57162</v>
      </c>
      <c r="C477" s="2">
        <v>1001.5307644954296</v>
      </c>
      <c r="D477" s="2">
        <f t="shared" si="57"/>
        <v>-1.3046667603138218E-3</v>
      </c>
      <c r="E477" s="5">
        <f t="shared" si="61"/>
        <v>3.0018091974056249E-2</v>
      </c>
      <c r="F477" s="5">
        <f t="shared" si="58"/>
        <v>3.4183161885978475E-2</v>
      </c>
      <c r="G477" s="1">
        <v>57162</v>
      </c>
      <c r="H477" s="2">
        <v>1005.363667175588</v>
      </c>
      <c r="I477" s="5">
        <f t="shared" si="62"/>
        <v>3.0118091192657515E-2</v>
      </c>
      <c r="J477" s="5">
        <f t="shared" si="59"/>
        <v>3.4283174586416054E-2</v>
      </c>
      <c r="K477" s="7">
        <f t="shared" si="60"/>
        <v>1.0001270043757948E-4</v>
      </c>
      <c r="M477" s="7">
        <f t="shared" si="63"/>
        <v>9.9999218601265483E-5</v>
      </c>
    </row>
    <row r="478" spans="1:13" x14ac:dyDescent="0.25">
      <c r="A478">
        <f t="shared" si="56"/>
        <v>39.583333333333364</v>
      </c>
      <c r="B478" s="1">
        <v>57193</v>
      </c>
      <c r="C478" s="2">
        <v>1005.1918916157963</v>
      </c>
      <c r="D478" s="2">
        <f t="shared" si="57"/>
        <v>3.6555313627446573E-3</v>
      </c>
      <c r="E478" s="5">
        <f t="shared" si="61"/>
        <v>3.0000626771597316E-2</v>
      </c>
      <c r="F478" s="5">
        <f t="shared" si="58"/>
        <v>3.4205314313934032E-2</v>
      </c>
      <c r="G478" s="1">
        <v>57193</v>
      </c>
      <c r="H478" s="2">
        <v>1009.046969594706</v>
      </c>
      <c r="I478" s="5">
        <f t="shared" si="62"/>
        <v>3.0100625986834384E-2</v>
      </c>
      <c r="J478" s="5">
        <f t="shared" si="59"/>
        <v>3.4305330001058731E-2</v>
      </c>
      <c r="K478" s="7">
        <f t="shared" si="60"/>
        <v>1.0001568712469933E-4</v>
      </c>
      <c r="M478" s="7">
        <f t="shared" si="63"/>
        <v>9.9999215237067673E-5</v>
      </c>
    </row>
    <row r="479" spans="1:13" x14ac:dyDescent="0.25">
      <c r="A479">
        <f t="shared" si="56"/>
        <v>39.6666666666667</v>
      </c>
      <c r="B479" s="1">
        <v>57224</v>
      </c>
      <c r="C479" s="2">
        <v>1009.5299753298017</v>
      </c>
      <c r="D479" s="2">
        <f t="shared" si="57"/>
        <v>4.3156771858079424E-3</v>
      </c>
      <c r="E479" s="5">
        <f t="shared" si="61"/>
        <v>2.9983161865281494E-2</v>
      </c>
      <c r="F479" s="5">
        <f t="shared" si="58"/>
        <v>3.4244517905964056E-2</v>
      </c>
      <c r="G479" s="1">
        <v>57224</v>
      </c>
      <c r="H479" s="2">
        <v>1013.4098898831277</v>
      </c>
      <c r="I479" s="5">
        <f t="shared" si="62"/>
        <v>3.0083161077126164E-2</v>
      </c>
      <c r="J479" s="5">
        <f t="shared" si="59"/>
        <v>3.4344538225257848E-2</v>
      </c>
      <c r="K479" s="7">
        <f t="shared" si="60"/>
        <v>1.0002031929379207E-4</v>
      </c>
      <c r="M479" s="7">
        <f t="shared" si="63"/>
        <v>9.9999211844670199E-5</v>
      </c>
    </row>
    <row r="480" spans="1:13" x14ac:dyDescent="0.25">
      <c r="A480">
        <f t="shared" si="56"/>
        <v>39.750000000000036</v>
      </c>
      <c r="B480" s="1">
        <v>57254</v>
      </c>
      <c r="C480" s="2">
        <v>1010.5413342749198</v>
      </c>
      <c r="D480" s="2">
        <f t="shared" si="57"/>
        <v>1.0018117042911445E-3</v>
      </c>
      <c r="E480" s="5">
        <f t="shared" si="61"/>
        <v>2.9965697255104562E-2</v>
      </c>
      <c r="F480" s="5">
        <f t="shared" si="58"/>
        <v>3.419756491445658E-2</v>
      </c>
      <c r="G480" s="1">
        <v>57254</v>
      </c>
      <c r="H480" s="2">
        <v>1014.4333433549532</v>
      </c>
      <c r="I480" s="5">
        <f t="shared" si="62"/>
        <v>3.0065696463527747E-2</v>
      </c>
      <c r="J480" s="5">
        <f t="shared" si="59"/>
        <v>3.4297581530307042E-2</v>
      </c>
      <c r="K480" s="7">
        <f t="shared" si="60"/>
        <v>1.0001661585046229E-4</v>
      </c>
      <c r="M480" s="7">
        <f t="shared" si="63"/>
        <v>9.9999208423184882E-5</v>
      </c>
    </row>
    <row r="481" spans="1:13" x14ac:dyDescent="0.25">
      <c r="A481">
        <f t="shared" si="56"/>
        <v>39.833333333333371</v>
      </c>
      <c r="B481" s="1">
        <v>57285</v>
      </c>
      <c r="C481" s="2">
        <v>1011.8462881362816</v>
      </c>
      <c r="D481" s="2">
        <f t="shared" si="57"/>
        <v>1.2913414000013113E-3</v>
      </c>
      <c r="E481" s="5">
        <f t="shared" si="61"/>
        <v>2.9948232941061415E-2</v>
      </c>
      <c r="F481" s="5">
        <f t="shared" si="58"/>
        <v>3.415831866989949E-2</v>
      </c>
      <c r="G481" s="1">
        <v>57285</v>
      </c>
      <c r="H481" s="2">
        <v>1015.751541376949</v>
      </c>
      <c r="I481" s="5">
        <f t="shared" si="62"/>
        <v>3.004823214603447E-2</v>
      </c>
      <c r="J481" s="5">
        <f t="shared" si="59"/>
        <v>3.4258332324047958E-2</v>
      </c>
      <c r="K481" s="7">
        <f t="shared" si="60"/>
        <v>1.0001365414846752E-4</v>
      </c>
      <c r="M481" s="7">
        <f t="shared" si="63"/>
        <v>9.9999204973055811E-5</v>
      </c>
    </row>
    <row r="482" spans="1:13" x14ac:dyDescent="0.25">
      <c r="A482">
        <f t="shared" si="56"/>
        <v>39.916666666666707</v>
      </c>
      <c r="B482" s="1">
        <v>57315</v>
      </c>
      <c r="C482" s="2">
        <v>1015.4136744617133</v>
      </c>
      <c r="D482" s="2">
        <f t="shared" si="57"/>
        <v>3.5256208055103322E-3</v>
      </c>
      <c r="E482" s="5">
        <f t="shared" si="61"/>
        <v>2.9930768923146722E-2</v>
      </c>
      <c r="F482" s="5">
        <f t="shared" si="58"/>
        <v>3.4176983706112773E-2</v>
      </c>
      <c r="G482" s="1">
        <v>57315</v>
      </c>
      <c r="H482" s="2">
        <v>1019.3409434337906</v>
      </c>
      <c r="I482" s="5">
        <f t="shared" si="62"/>
        <v>3.0030768124641005E-2</v>
      </c>
      <c r="J482" s="5">
        <f t="shared" si="59"/>
        <v>3.4276999995672908E-2</v>
      </c>
      <c r="K482" s="7">
        <f t="shared" si="60"/>
        <v>1.000162895601342E-4</v>
      </c>
      <c r="M482" s="7">
        <f t="shared" si="63"/>
        <v>9.9999201494282985E-5</v>
      </c>
    </row>
    <row r="483" spans="1:13" x14ac:dyDescent="0.25">
      <c r="A483">
        <f t="shared" si="56"/>
        <v>40.000000000000043</v>
      </c>
      <c r="B483" s="1">
        <v>57346</v>
      </c>
      <c r="C483" s="2">
        <v>1011.3141312195165</v>
      </c>
      <c r="D483" s="2">
        <f t="shared" si="57"/>
        <v>-4.037313407631582E-3</v>
      </c>
      <c r="E483" s="5">
        <f t="shared" si="61"/>
        <v>2.9913305201353158E-2</v>
      </c>
      <c r="F483" s="5">
        <f t="shared" si="58"/>
        <v>3.400000000000003E-2</v>
      </c>
      <c r="G483" s="1">
        <v>57346</v>
      </c>
      <c r="H483" s="2">
        <v>1015.23375863482</v>
      </c>
      <c r="I483" s="5">
        <f t="shared" si="62"/>
        <v>3.00133043993418E-2</v>
      </c>
      <c r="J483" s="5">
        <f t="shared" si="59"/>
        <v>3.4100000000000019E-2</v>
      </c>
      <c r="K483" s="7">
        <f t="shared" si="60"/>
        <v>9.9999999999988987E-5</v>
      </c>
      <c r="M483" s="7">
        <f t="shared" si="63"/>
        <v>9.9999197988642763E-5</v>
      </c>
    </row>
    <row r="484" spans="1:13" x14ac:dyDescent="0.25">
      <c r="A484">
        <f t="shared" si="56"/>
        <v>40.083333333333378</v>
      </c>
      <c r="B484" s="1">
        <v>57377</v>
      </c>
      <c r="C484" s="2">
        <v>1017.7110266673441</v>
      </c>
      <c r="D484" s="2">
        <f t="shared" si="57"/>
        <v>6.3253298360557153E-3</v>
      </c>
      <c r="E484" s="5">
        <f t="shared" si="61"/>
        <v>3.0321332620875552E-2</v>
      </c>
      <c r="F484" s="5">
        <f t="shared" si="58"/>
        <v>3.4090785596762263E-2</v>
      </c>
      <c r="G484" s="1">
        <v>57377</v>
      </c>
      <c r="H484" s="2">
        <v>1021.6636739695672</v>
      </c>
      <c r="I484" s="5">
        <f t="shared" si="62"/>
        <v>3.042133196902963E-2</v>
      </c>
      <c r="J484" s="5">
        <f t="shared" si="59"/>
        <v>3.4190794211917064E-2</v>
      </c>
      <c r="K484" s="7">
        <f t="shared" si="60"/>
        <v>1.0000861515480075E-4</v>
      </c>
      <c r="M484" s="7">
        <f t="shared" si="63"/>
        <v>9.9999348154078405E-5</v>
      </c>
    </row>
    <row r="485" spans="1:13" x14ac:dyDescent="0.25">
      <c r="A485">
        <f t="shared" si="56"/>
        <v>40.166666666666714</v>
      </c>
      <c r="B485" s="1">
        <v>57405</v>
      </c>
      <c r="C485" s="2">
        <v>1022.1712365512435</v>
      </c>
      <c r="D485" s="2">
        <f t="shared" si="57"/>
        <v>4.3825897204878839E-3</v>
      </c>
      <c r="E485" s="5">
        <f t="shared" si="61"/>
        <v>3.0729521691261308E-2</v>
      </c>
      <c r="F485" s="5">
        <f t="shared" si="58"/>
        <v>3.4131449757460075E-2</v>
      </c>
      <c r="G485" s="1">
        <v>57405</v>
      </c>
      <c r="H485" s="2">
        <v>1026.1494697574733</v>
      </c>
      <c r="I485" s="5">
        <f t="shared" si="62"/>
        <v>3.0829521174006169E-2</v>
      </c>
      <c r="J485" s="5">
        <f t="shared" si="59"/>
        <v>3.4231462141106395E-2</v>
      </c>
      <c r="K485" s="7">
        <f t="shared" si="60"/>
        <v>1.0001238364631959E-4</v>
      </c>
      <c r="M485" s="7">
        <f t="shared" si="63"/>
        <v>9.9999482744861368E-5</v>
      </c>
    </row>
    <row r="486" spans="1:13" x14ac:dyDescent="0.25">
      <c r="A486">
        <f t="shared" si="56"/>
        <v>40.25000000000005</v>
      </c>
      <c r="B486" s="1">
        <v>57436</v>
      </c>
      <c r="C486" s="2">
        <v>1029.3881936029795</v>
      </c>
      <c r="D486" s="2">
        <f t="shared" si="57"/>
        <v>7.0604188355813946E-3</v>
      </c>
      <c r="E486" s="5">
        <f t="shared" si="61"/>
        <v>3.1137872476552753E-2</v>
      </c>
      <c r="F486" s="5">
        <f t="shared" si="58"/>
        <v>3.4240361382313678E-2</v>
      </c>
      <c r="G486" s="1">
        <v>57436</v>
      </c>
      <c r="H486" s="2">
        <v>1033.4028362822041</v>
      </c>
      <c r="I486" s="5">
        <f t="shared" si="62"/>
        <v>3.1237872078300866E-2</v>
      </c>
      <c r="J486" s="5">
        <f t="shared" si="59"/>
        <v>3.4340384135421065E-2</v>
      </c>
      <c r="K486" s="7">
        <f t="shared" si="60"/>
        <v>1.0002275310738717E-4</v>
      </c>
      <c r="M486" s="7">
        <f t="shared" si="63"/>
        <v>9.9999601748113065E-5</v>
      </c>
    </row>
    <row r="487" spans="1:13" x14ac:dyDescent="0.25">
      <c r="A487">
        <f t="shared" si="56"/>
        <v>40.333333333333385</v>
      </c>
      <c r="B487" s="1">
        <v>57466</v>
      </c>
      <c r="C487" s="2">
        <v>1033.1033005940947</v>
      </c>
      <c r="D487" s="2">
        <f t="shared" si="57"/>
        <v>3.6090437156772737E-3</v>
      </c>
      <c r="E487" s="5">
        <f t="shared" si="61"/>
        <v>3.1546385040817526E-2</v>
      </c>
      <c r="F487" s="5">
        <f t="shared" si="58"/>
        <v>3.4260797135334586E-2</v>
      </c>
      <c r="G487" s="1">
        <v>57466</v>
      </c>
      <c r="H487" s="2">
        <v>1037.1407838744221</v>
      </c>
      <c r="I487" s="5">
        <f t="shared" si="62"/>
        <v>3.1646384745969369E-2</v>
      </c>
      <c r="J487" s="5">
        <f t="shared" si="59"/>
        <v>3.436082170193977E-2</v>
      </c>
      <c r="K487" s="7">
        <f t="shared" si="60"/>
        <v>1.0002456660518355E-4</v>
      </c>
      <c r="M487" s="7">
        <f t="shared" si="63"/>
        <v>9.9999705151843088E-5</v>
      </c>
    </row>
    <row r="488" spans="1:13" x14ac:dyDescent="0.25">
      <c r="A488">
        <f t="shared" si="56"/>
        <v>40.416666666666721</v>
      </c>
      <c r="B488" s="1">
        <v>57497</v>
      </c>
      <c r="C488" s="2">
        <v>1034.8849195693431</v>
      </c>
      <c r="D488" s="2">
        <f t="shared" si="57"/>
        <v>1.7245312973290794E-3</v>
      </c>
      <c r="E488" s="5">
        <f t="shared" si="61"/>
        <v>3.1955059448148804E-2</v>
      </c>
      <c r="F488" s="5">
        <f t="shared" si="58"/>
        <v>3.4233052845551892E-2</v>
      </c>
      <c r="G488" s="1">
        <v>57497</v>
      </c>
      <c r="H488" s="2">
        <v>1038.9377316660496</v>
      </c>
      <c r="I488" s="5">
        <f t="shared" si="62"/>
        <v>3.2055059241092199E-2</v>
      </c>
      <c r="J488" s="5">
        <f t="shared" si="59"/>
        <v>3.4333074566779809E-2</v>
      </c>
      <c r="K488" s="7">
        <f t="shared" si="60"/>
        <v>1.0002172122791642E-4</v>
      </c>
      <c r="M488" s="7">
        <f t="shared" si="63"/>
        <v>9.9999792943394894E-5</v>
      </c>
    </row>
    <row r="489" spans="1:13" x14ac:dyDescent="0.25">
      <c r="A489">
        <f t="shared" si="56"/>
        <v>40.500000000000057</v>
      </c>
      <c r="B489" s="1">
        <v>57527</v>
      </c>
      <c r="C489" s="2">
        <v>1033.9442017606616</v>
      </c>
      <c r="D489" s="2">
        <f t="shared" si="57"/>
        <v>-9.0900716678044002E-4</v>
      </c>
      <c r="E489" s="5">
        <f t="shared" si="61"/>
        <v>3.236389576266463E-2</v>
      </c>
      <c r="F489" s="5">
        <f t="shared" si="58"/>
        <v>3.4138203155386515E-2</v>
      </c>
      <c r="G489" s="1">
        <v>57527</v>
      </c>
      <c r="H489" s="2">
        <v>1038.0016883347339</v>
      </c>
      <c r="I489" s="5">
        <f t="shared" si="62"/>
        <v>3.2463895627775408E-2</v>
      </c>
      <c r="J489" s="5">
        <f t="shared" si="59"/>
        <v>3.4238215542092831E-2</v>
      </c>
      <c r="K489" s="7">
        <f t="shared" si="60"/>
        <v>1.0001238670631629E-4</v>
      </c>
      <c r="M489" s="7">
        <f t="shared" si="63"/>
        <v>9.9999865110778074E-5</v>
      </c>
    </row>
    <row r="490" spans="1:13" x14ac:dyDescent="0.25">
      <c r="A490">
        <f t="shared" si="56"/>
        <v>40.583333333333393</v>
      </c>
      <c r="B490" s="1">
        <v>57558</v>
      </c>
      <c r="C490" s="2">
        <v>1038.1349389781412</v>
      </c>
      <c r="D490" s="2">
        <f t="shared" si="57"/>
        <v>4.053156070069841E-3</v>
      </c>
      <c r="E490" s="5">
        <f t="shared" si="61"/>
        <v>3.2772894048509027E-2</v>
      </c>
      <c r="F490" s="5">
        <f t="shared" si="58"/>
        <v>3.416999467479398E-2</v>
      </c>
      <c r="G490" s="1">
        <v>57558</v>
      </c>
      <c r="H490" s="2">
        <v>1042.2172636370942</v>
      </c>
      <c r="I490" s="5">
        <f t="shared" si="62"/>
        <v>3.2872893970150363E-2</v>
      </c>
      <c r="J490" s="5">
        <f t="shared" si="59"/>
        <v>3.4270009975230886E-2</v>
      </c>
      <c r="K490" s="7">
        <f t="shared" si="60"/>
        <v>1.0001530043690643E-4</v>
      </c>
      <c r="M490" s="7">
        <f t="shared" si="63"/>
        <v>9.9999921641336087E-5</v>
      </c>
    </row>
    <row r="491" spans="1:13" x14ac:dyDescent="0.25">
      <c r="A491">
        <f t="shared" si="56"/>
        <v>40.666666666666728</v>
      </c>
      <c r="B491" s="1">
        <v>57589</v>
      </c>
      <c r="C491" s="2">
        <v>1043.0282538591903</v>
      </c>
      <c r="D491" s="2">
        <f t="shared" si="57"/>
        <v>4.7135634273764992E-3</v>
      </c>
      <c r="E491" s="5">
        <f t="shared" si="61"/>
        <v>3.3182054369851777E-2</v>
      </c>
      <c r="F491" s="5">
        <f t="shared" si="58"/>
        <v>3.4218378655065385E-2</v>
      </c>
      <c r="G491" s="1">
        <v>57589</v>
      </c>
      <c r="H491" s="2">
        <v>1047.138252899183</v>
      </c>
      <c r="I491" s="5">
        <f t="shared" si="62"/>
        <v>3.3282054332373967E-2</v>
      </c>
      <c r="J491" s="5">
        <f t="shared" si="59"/>
        <v>3.4318398474548317E-2</v>
      </c>
      <c r="K491" s="7">
        <f t="shared" si="60"/>
        <v>1.000198194829327E-4</v>
      </c>
      <c r="M491" s="7">
        <f t="shared" si="63"/>
        <v>9.9999962522190344E-5</v>
      </c>
    </row>
    <row r="492" spans="1:13" x14ac:dyDescent="0.25">
      <c r="A492">
        <f t="shared" si="56"/>
        <v>40.750000000000064</v>
      </c>
      <c r="B492" s="1">
        <v>57619</v>
      </c>
      <c r="C492" s="2">
        <v>1044.4868089973143</v>
      </c>
      <c r="D492" s="2">
        <f t="shared" si="57"/>
        <v>1.3983850703251921E-3</v>
      </c>
      <c r="E492" s="5">
        <f t="shared" si="61"/>
        <v>3.3591376790886862E-2</v>
      </c>
      <c r="F492" s="5">
        <f t="shared" si="58"/>
        <v>3.4182684877955838E-2</v>
      </c>
      <c r="G492" s="1">
        <v>57619</v>
      </c>
      <c r="H492" s="2">
        <v>1048.6109993427285</v>
      </c>
      <c r="I492" s="5">
        <f t="shared" si="62"/>
        <v>3.3691376778628213E-2</v>
      </c>
      <c r="J492" s="5">
        <f t="shared" si="59"/>
        <v>3.4282701085932343E-2</v>
      </c>
      <c r="K492" s="7">
        <f t="shared" si="60"/>
        <v>1.0001620797650546E-4</v>
      </c>
      <c r="M492" s="7">
        <f t="shared" si="63"/>
        <v>9.9999987741350438E-5</v>
      </c>
    </row>
    <row r="493" spans="1:13" x14ac:dyDescent="0.25">
      <c r="A493">
        <f t="shared" si="56"/>
        <v>40.8333333333334</v>
      </c>
      <c r="B493" s="1">
        <v>57650</v>
      </c>
      <c r="C493" s="2">
        <v>1046.2499335128559</v>
      </c>
      <c r="D493" s="2">
        <f t="shared" si="57"/>
        <v>1.6880294708885302E-3</v>
      </c>
      <c r="E493" s="5">
        <f t="shared" si="61"/>
        <v>3.4000861375834468E-2</v>
      </c>
      <c r="F493" s="5">
        <f t="shared" si="58"/>
        <v>3.4154462286504428E-2</v>
      </c>
      <c r="G493" s="1">
        <v>57650</v>
      </c>
      <c r="H493" s="2">
        <v>1050.3895438789789</v>
      </c>
      <c r="I493" s="5">
        <f t="shared" si="62"/>
        <v>3.4100861373121516E-2</v>
      </c>
      <c r="J493" s="5">
        <f t="shared" si="59"/>
        <v>3.4254475606177337E-2</v>
      </c>
      <c r="K493" s="7">
        <f t="shared" si="60"/>
        <v>1.0001331967290916E-4</v>
      </c>
      <c r="M493" s="7">
        <f t="shared" si="63"/>
        <v>9.9999997287048004E-5</v>
      </c>
    </row>
    <row r="494" spans="1:13" x14ac:dyDescent="0.25">
      <c r="A494">
        <f t="shared" si="56"/>
        <v>40.916666666666735</v>
      </c>
      <c r="B494" s="1">
        <v>57680</v>
      </c>
      <c r="C494" s="2">
        <v>1050.35457502194</v>
      </c>
      <c r="D494" s="2">
        <f t="shared" si="57"/>
        <v>3.9231940453294811E-3</v>
      </c>
      <c r="E494" s="5">
        <f t="shared" si="61"/>
        <v>3.4410508188940314E-2</v>
      </c>
      <c r="F494" s="5">
        <f t="shared" si="58"/>
        <v>3.4182690396914239E-2</v>
      </c>
      <c r="G494" s="1">
        <v>57680</v>
      </c>
      <c r="H494" s="2">
        <v>1054.5189174004593</v>
      </c>
      <c r="I494" s="5">
        <f t="shared" si="62"/>
        <v>3.4510508180086275E-2</v>
      </c>
      <c r="J494" s="5">
        <f t="shared" si="59"/>
        <v>3.4282706288290887E-2</v>
      </c>
      <c r="K494" s="7">
        <f t="shared" si="60"/>
        <v>1.0001589137664801E-4</v>
      </c>
      <c r="M494" s="7">
        <f t="shared" si="63"/>
        <v>9.9999991145960365E-5</v>
      </c>
    </row>
    <row r="495" spans="1:13" x14ac:dyDescent="0.25">
      <c r="A495">
        <f t="shared" si="56"/>
        <v>41.000000000000071</v>
      </c>
      <c r="B495" s="1">
        <v>57711</v>
      </c>
      <c r="C495" s="2">
        <v>1046.5284101529674</v>
      </c>
      <c r="D495" s="2">
        <f t="shared" si="57"/>
        <v>-3.6427364244048244E-3</v>
      </c>
      <c r="E495" s="5">
        <f t="shared" si="61"/>
        <v>3.4820317294475878E-2</v>
      </c>
      <c r="F495" s="5">
        <f t="shared" si="58"/>
        <v>3.4019999999999939E-2</v>
      </c>
      <c r="G495" s="1">
        <v>57711</v>
      </c>
      <c r="H495" s="2">
        <v>1050.686043583248</v>
      </c>
      <c r="I495" s="5">
        <f t="shared" si="62"/>
        <v>3.4920317263780198E-2</v>
      </c>
      <c r="J495" s="5">
        <f t="shared" si="59"/>
        <v>3.4119999999999928E-2</v>
      </c>
      <c r="K495" s="7">
        <f t="shared" si="60"/>
        <v>9.9999999999988987E-5</v>
      </c>
      <c r="M495" s="7">
        <f t="shared" si="63"/>
        <v>9.9999969304320757E-5</v>
      </c>
    </row>
    <row r="496" spans="1:13" x14ac:dyDescent="0.25">
      <c r="A496">
        <f t="shared" si="56"/>
        <v>41.083333333333407</v>
      </c>
      <c r="B496" s="1">
        <v>57742</v>
      </c>
      <c r="C496" s="2">
        <v>1053.1514411850414</v>
      </c>
      <c r="D496" s="2">
        <f t="shared" si="57"/>
        <v>6.3285726099935324E-3</v>
      </c>
      <c r="E496" s="5">
        <f t="shared" si="61"/>
        <v>3.4823651890411922E-2</v>
      </c>
      <c r="F496" s="5">
        <f t="shared" si="58"/>
        <v>3.4108617962838483E-2</v>
      </c>
      <c r="G496" s="1">
        <v>57742</v>
      </c>
      <c r="H496" s="2">
        <v>1057.3439004368749</v>
      </c>
      <c r="I496" s="5">
        <f t="shared" si="62"/>
        <v>3.4923651859594784E-2</v>
      </c>
      <c r="J496" s="5">
        <f t="shared" si="59"/>
        <v>3.4208626368284589E-2</v>
      </c>
      <c r="K496" s="7">
        <f t="shared" si="60"/>
        <v>1.000084054461059E-4</v>
      </c>
      <c r="M496" s="7">
        <f t="shared" si="63"/>
        <v>9.9999969182862358E-5</v>
      </c>
    </row>
    <row r="497" spans="1:13" x14ac:dyDescent="0.25">
      <c r="A497">
        <f t="shared" si="56"/>
        <v>41.166666666666742</v>
      </c>
      <c r="B497" s="1">
        <v>57770</v>
      </c>
      <c r="C497" s="2">
        <v>1057.770380404331</v>
      </c>
      <c r="D497" s="2">
        <f t="shared" si="57"/>
        <v>4.3858262341569532E-3</v>
      </c>
      <c r="E497" s="5">
        <f t="shared" si="61"/>
        <v>3.4826986497093593E-2</v>
      </c>
      <c r="F497" s="5">
        <f t="shared" si="58"/>
        <v>3.4148339845401443E-2</v>
      </c>
      <c r="G497" s="1">
        <v>57770</v>
      </c>
      <c r="H497" s="2">
        <v>1061.9897783999436</v>
      </c>
      <c r="I497" s="5">
        <f t="shared" si="62"/>
        <v>3.4926986466153886E-2</v>
      </c>
      <c r="J497" s="5">
        <f t="shared" si="59"/>
        <v>3.4248351928212184E-2</v>
      </c>
      <c r="K497" s="7">
        <f t="shared" si="60"/>
        <v>1.0001208281074092E-4</v>
      </c>
      <c r="M497" s="7">
        <f t="shared" si="63"/>
        <v>9.9999969060293736E-5</v>
      </c>
    </row>
    <row r="498" spans="1:13" x14ac:dyDescent="0.25">
      <c r="A498">
        <f t="shared" si="56"/>
        <v>41.250000000000078</v>
      </c>
      <c r="B498" s="1">
        <v>57801</v>
      </c>
      <c r="C498" s="2">
        <v>1065.2421149376673</v>
      </c>
      <c r="D498" s="2">
        <f t="shared" si="57"/>
        <v>7.0636639782637456E-3</v>
      </c>
      <c r="E498" s="5">
        <f t="shared" si="61"/>
        <v>3.4830321114520446E-2</v>
      </c>
      <c r="F498" s="5">
        <f t="shared" si="58"/>
        <v>3.425465945766426E-2</v>
      </c>
      <c r="G498" s="1">
        <v>57801</v>
      </c>
      <c r="H498" s="2">
        <v>1069.499929162097</v>
      </c>
      <c r="I498" s="5">
        <f t="shared" si="62"/>
        <v>3.4930321083457283E-2</v>
      </c>
      <c r="J498" s="5">
        <f t="shared" si="59"/>
        <v>3.4354681659119812E-2</v>
      </c>
      <c r="K498" s="7">
        <f t="shared" si="60"/>
        <v>1.0002220145555185E-4</v>
      </c>
      <c r="M498" s="7">
        <f t="shared" si="63"/>
        <v>9.9999968936836936E-5</v>
      </c>
    </row>
    <row r="499" spans="1:13" x14ac:dyDescent="0.25">
      <c r="A499">
        <f t="shared" si="56"/>
        <v>41.333333333333414</v>
      </c>
      <c r="B499" s="1">
        <v>57831</v>
      </c>
      <c r="C499" s="2">
        <v>1069.0900653136289</v>
      </c>
      <c r="D499" s="2">
        <f t="shared" si="57"/>
        <v>3.6122777366784931E-3</v>
      </c>
      <c r="E499" s="5">
        <f t="shared" si="61"/>
        <v>3.4833655742692704E-2</v>
      </c>
      <c r="F499" s="5">
        <f t="shared" si="58"/>
        <v>3.4274652873737432E-2</v>
      </c>
      <c r="G499" s="1">
        <v>57831</v>
      </c>
      <c r="H499" s="2">
        <v>1073.3719029426518</v>
      </c>
      <c r="I499" s="5">
        <f t="shared" si="62"/>
        <v>3.4933655711505196E-2</v>
      </c>
      <c r="J499" s="5">
        <f t="shared" si="59"/>
        <v>3.4374676845918106E-2</v>
      </c>
      <c r="K499" s="7">
        <f t="shared" si="60"/>
        <v>1.0002397218067394E-4</v>
      </c>
      <c r="M499" s="7">
        <f t="shared" si="63"/>
        <v>9.9999968812491957E-5</v>
      </c>
    </row>
    <row r="500" spans="1:13" x14ac:dyDescent="0.25">
      <c r="A500">
        <f t="shared" si="56"/>
        <v>41.41666666666675</v>
      </c>
      <c r="B500" s="1">
        <v>57862</v>
      </c>
      <c r="C500" s="2">
        <v>1070.9371955584541</v>
      </c>
      <c r="D500" s="2">
        <f t="shared" si="57"/>
        <v>1.727759245693905E-3</v>
      </c>
      <c r="E500" s="5">
        <f t="shared" si="61"/>
        <v>3.4836990381610589E-2</v>
      </c>
      <c r="F500" s="5">
        <f t="shared" si="58"/>
        <v>3.4247630685212416E-2</v>
      </c>
      <c r="G500" s="1">
        <v>57862</v>
      </c>
      <c r="H500" s="2">
        <v>1075.2350891718263</v>
      </c>
      <c r="I500" s="5">
        <f t="shared" si="62"/>
        <v>3.4936990350297403E-2</v>
      </c>
      <c r="J500" s="5">
        <f t="shared" si="59"/>
        <v>3.4347651881928565E-2</v>
      </c>
      <c r="K500" s="7">
        <f t="shared" si="60"/>
        <v>1.0002119671614906E-4</v>
      </c>
      <c r="M500" s="7">
        <f t="shared" si="63"/>
        <v>9.9999968686814711E-5</v>
      </c>
    </row>
    <row r="501" spans="1:13" x14ac:dyDescent="0.25">
      <c r="A501">
        <f t="shared" si="56"/>
        <v>41.500000000000085</v>
      </c>
      <c r="B501" s="1">
        <v>57892</v>
      </c>
      <c r="C501" s="2">
        <v>1069.967153814204</v>
      </c>
      <c r="D501" s="2">
        <f t="shared" si="57"/>
        <v>-9.0578770470672865E-4</v>
      </c>
      <c r="E501" s="5">
        <f t="shared" si="61"/>
        <v>3.4840325031273878E-2</v>
      </c>
      <c r="F501" s="5">
        <f t="shared" si="58"/>
        <v>3.4155116152315257E-2</v>
      </c>
      <c r="G501" s="1">
        <v>57892</v>
      </c>
      <c r="H501" s="2">
        <v>1074.2698046755261</v>
      </c>
      <c r="I501" s="5">
        <f t="shared" si="62"/>
        <v>3.4940324999834127E-2</v>
      </c>
      <c r="J501" s="5">
        <f t="shared" si="59"/>
        <v>3.4255128240528565E-2</v>
      </c>
      <c r="K501" s="7">
        <f t="shared" si="60"/>
        <v>1.000120882133082E-4</v>
      </c>
      <c r="M501" s="7">
        <f t="shared" si="63"/>
        <v>9.9999968560249286E-5</v>
      </c>
    </row>
    <row r="502" spans="1:13" x14ac:dyDescent="0.25">
      <c r="A502">
        <f t="shared" si="56"/>
        <v>41.583333333333421</v>
      </c>
      <c r="B502" s="1">
        <v>57923</v>
      </c>
      <c r="C502" s="2">
        <v>1074.3073595059416</v>
      </c>
      <c r="D502" s="2">
        <f t="shared" si="57"/>
        <v>4.0563915221749625E-3</v>
      </c>
      <c r="E502" s="5">
        <f t="shared" si="61"/>
        <v>3.4843659691682793E-2</v>
      </c>
      <c r="F502" s="5">
        <f t="shared" si="58"/>
        <v>3.4186189888509855E-2</v>
      </c>
      <c r="G502" s="1">
        <v>57923</v>
      </c>
      <c r="H502" s="2">
        <v>1078.6361489895255</v>
      </c>
      <c r="I502" s="5">
        <f t="shared" si="62"/>
        <v>3.4943659660115367E-2</v>
      </c>
      <c r="J502" s="5">
        <f t="shared" si="59"/>
        <v>3.428620482097311E-2</v>
      </c>
      <c r="K502" s="7">
        <f t="shared" si="60"/>
        <v>1.0001493246325488E-4</v>
      </c>
      <c r="M502" s="7">
        <f t="shared" si="63"/>
        <v>9.9999968432573638E-5</v>
      </c>
    </row>
    <row r="503" spans="1:13" x14ac:dyDescent="0.25">
      <c r="A503">
        <f t="shared" si="56"/>
        <v>41.666666666666757</v>
      </c>
      <c r="B503" s="1">
        <v>57954</v>
      </c>
      <c r="C503" s="2">
        <v>1079.3746535417015</v>
      </c>
      <c r="D503" s="2">
        <f t="shared" si="57"/>
        <v>4.7168010075722133E-3</v>
      </c>
      <c r="E503" s="5">
        <f t="shared" si="61"/>
        <v>3.4846994362837336E-2</v>
      </c>
      <c r="F503" s="5">
        <f t="shared" si="58"/>
        <v>3.4233460958881468E-2</v>
      </c>
      <c r="G503" s="1">
        <v>57954</v>
      </c>
      <c r="H503" s="2">
        <v>1083.7325874871717</v>
      </c>
      <c r="I503" s="5">
        <f t="shared" si="62"/>
        <v>3.4946994331141124E-2</v>
      </c>
      <c r="J503" s="5">
        <f t="shared" si="59"/>
        <v>3.4333480302650932E-2</v>
      </c>
      <c r="K503" s="7">
        <f t="shared" si="60"/>
        <v>1.0001934376946409E-4</v>
      </c>
      <c r="M503" s="7">
        <f t="shared" si="63"/>
        <v>9.9999968303787767E-5</v>
      </c>
    </row>
    <row r="504" spans="1:13" x14ac:dyDescent="0.25">
      <c r="A504">
        <f t="shared" si="56"/>
        <v>41.750000000000092</v>
      </c>
      <c r="B504" s="1">
        <v>57984</v>
      </c>
      <c r="C504" s="2">
        <v>1080.8875179737583</v>
      </c>
      <c r="D504" s="2">
        <f t="shared" si="57"/>
        <v>1.4016119677191519E-3</v>
      </c>
      <c r="E504" s="5">
        <f t="shared" si="61"/>
        <v>3.4850329044737283E-2</v>
      </c>
      <c r="F504" s="5">
        <f t="shared" si="58"/>
        <v>3.4198671318921292E-2</v>
      </c>
      <c r="G504" s="1">
        <v>57984</v>
      </c>
      <c r="H504" s="2">
        <v>1085.2602987763148</v>
      </c>
      <c r="I504" s="5">
        <f t="shared" si="62"/>
        <v>3.4950329012911396E-2</v>
      </c>
      <c r="J504" s="5">
        <f t="shared" si="59"/>
        <v>3.4298687138652362E-2</v>
      </c>
      <c r="K504" s="7">
        <f t="shared" si="60"/>
        <v>1.0001581973106966E-4</v>
      </c>
      <c r="M504" s="7">
        <f t="shared" si="63"/>
        <v>9.9999968174113718E-5</v>
      </c>
    </row>
    <row r="505" spans="1:13" x14ac:dyDescent="0.25">
      <c r="A505">
        <f t="shared" si="56"/>
        <v>41.833333333333428</v>
      </c>
      <c r="B505" s="1">
        <v>58015</v>
      </c>
      <c r="C505" s="2">
        <v>1082.7155768807722</v>
      </c>
      <c r="D505" s="2">
        <f t="shared" si="57"/>
        <v>1.6912573016301113E-3</v>
      </c>
      <c r="E505" s="5">
        <f t="shared" si="61"/>
        <v>3.4853663737382856E-2</v>
      </c>
      <c r="F505" s="5">
        <f t="shared" si="58"/>
        <v>3.4171170752691937E-2</v>
      </c>
      <c r="G505" s="1">
        <v>58015</v>
      </c>
      <c r="H505" s="2">
        <v>1087.1045067554207</v>
      </c>
      <c r="I505" s="5">
        <f t="shared" si="62"/>
        <v>3.4953663705426186E-2</v>
      </c>
      <c r="J505" s="5">
        <f t="shared" si="59"/>
        <v>3.4271183753945555E-2</v>
      </c>
      <c r="K505" s="7">
        <f t="shared" si="60"/>
        <v>1.0001300125361823E-4</v>
      </c>
      <c r="M505" s="7">
        <f t="shared" si="63"/>
        <v>9.9999968043329446E-5</v>
      </c>
    </row>
    <row r="506" spans="1:13" x14ac:dyDescent="0.25">
      <c r="A506">
        <f t="shared" si="56"/>
        <v>41.916666666666764</v>
      </c>
      <c r="B506" s="1">
        <v>58045</v>
      </c>
      <c r="C506" s="2">
        <v>1086.9667828057397</v>
      </c>
      <c r="D506" s="2">
        <f t="shared" si="57"/>
        <v>3.9264290786458211E-3</v>
      </c>
      <c r="E506" s="5">
        <f t="shared" si="61"/>
        <v>3.4856998440774056E-2</v>
      </c>
      <c r="F506" s="5">
        <f t="shared" si="58"/>
        <v>3.4198772151567525E-2</v>
      </c>
      <c r="G506" s="1">
        <v>58045</v>
      </c>
      <c r="H506" s="2">
        <v>1091.381733517956</v>
      </c>
      <c r="I506" s="5">
        <f t="shared" si="62"/>
        <v>3.4956998408685713E-2</v>
      </c>
      <c r="J506" s="5">
        <f t="shared" si="59"/>
        <v>3.4298787663796348E-2</v>
      </c>
      <c r="K506" s="7">
        <f t="shared" si="60"/>
        <v>1.0001551222882377E-4</v>
      </c>
      <c r="M506" s="7">
        <f t="shared" si="63"/>
        <v>9.9999967911656995E-5</v>
      </c>
    </row>
    <row r="507" spans="1:13" x14ac:dyDescent="0.25">
      <c r="A507">
        <f t="shared" si="56"/>
        <v>42.000000000000099</v>
      </c>
      <c r="B507" s="1">
        <v>58076</v>
      </c>
      <c r="C507" s="2">
        <v>1083.0107391869788</v>
      </c>
      <c r="D507" s="2">
        <f t="shared" si="57"/>
        <v>-3.6395257714770812E-3</v>
      </c>
      <c r="E507" s="5">
        <f t="shared" si="61"/>
        <v>3.4860333154910661E-2</v>
      </c>
      <c r="F507" s="5">
        <f t="shared" si="58"/>
        <v>3.4039999999999848E-2</v>
      </c>
      <c r="G507" s="1">
        <v>58076</v>
      </c>
      <c r="H507" s="2">
        <v>1087.4183776742796</v>
      </c>
      <c r="I507" s="5">
        <f t="shared" si="62"/>
        <v>3.4960333122689979E-2</v>
      </c>
      <c r="J507" s="5">
        <f t="shared" si="59"/>
        <v>3.4140000000000059E-2</v>
      </c>
      <c r="K507" s="7">
        <f t="shared" si="60"/>
        <v>1.0000000000021103E-4</v>
      </c>
      <c r="M507" s="7">
        <f t="shared" si="63"/>
        <v>9.9999967779318411E-5</v>
      </c>
    </row>
    <row r="508" spans="1:13" x14ac:dyDescent="0.25">
      <c r="A508">
        <f t="shared" si="56"/>
        <v>42.083333333333435</v>
      </c>
      <c r="B508" s="1">
        <v>58107</v>
      </c>
      <c r="C508" s="2">
        <v>1089.8681631557647</v>
      </c>
      <c r="D508" s="2">
        <f t="shared" si="57"/>
        <v>6.3318153003115718E-3</v>
      </c>
      <c r="E508" s="5">
        <f t="shared" si="61"/>
        <v>3.4863667783057162E-2</v>
      </c>
      <c r="F508" s="5">
        <f t="shared" si="58"/>
        <v>3.4126553349408617E-2</v>
      </c>
      <c r="G508" s="1">
        <v>58107</v>
      </c>
      <c r="H508" s="2">
        <v>1094.3125212699904</v>
      </c>
      <c r="I508" s="5">
        <f t="shared" si="62"/>
        <v>3.4963667750710803E-2</v>
      </c>
      <c r="J508" s="5">
        <f t="shared" si="59"/>
        <v>3.4226561555113388E-2</v>
      </c>
      <c r="K508" s="7">
        <f t="shared" si="60"/>
        <v>1.0000820570477131E-4</v>
      </c>
      <c r="M508" s="7">
        <f t="shared" si="63"/>
        <v>9.9999967653641164E-5</v>
      </c>
    </row>
    <row r="509" spans="1:13" x14ac:dyDescent="0.25">
      <c r="A509">
        <f t="shared" si="56"/>
        <v>42.166666666666771</v>
      </c>
      <c r="B509" s="1">
        <v>58135</v>
      </c>
      <c r="C509" s="2">
        <v>1094.6516628197546</v>
      </c>
      <c r="D509" s="2">
        <f t="shared" si="57"/>
        <v>4.3890626643676711E-3</v>
      </c>
      <c r="E509" s="5">
        <f t="shared" si="61"/>
        <v>3.4867002421948845E-2</v>
      </c>
      <c r="F509" s="5">
        <f t="shared" si="58"/>
        <v>3.4165377447757495E-2</v>
      </c>
      <c r="G509" s="1">
        <v>58135</v>
      </c>
      <c r="H509" s="2">
        <v>1099.1243775188527</v>
      </c>
      <c r="I509" s="5">
        <f t="shared" si="62"/>
        <v>3.4967002389475255E-2</v>
      </c>
      <c r="J509" s="5">
        <f t="shared" si="59"/>
        <v>3.4265389244002575E-2</v>
      </c>
      <c r="K509" s="7">
        <f t="shared" si="60"/>
        <v>1.0001179624508083E-4</v>
      </c>
      <c r="M509" s="7">
        <f t="shared" si="63"/>
        <v>9.9999967526409606E-5</v>
      </c>
    </row>
    <row r="510" spans="1:13" x14ac:dyDescent="0.25">
      <c r="A510">
        <f t="shared" si="56"/>
        <v>42.250000000000107</v>
      </c>
      <c r="B510" s="1">
        <v>58166</v>
      </c>
      <c r="C510" s="2">
        <v>1102.3874665483925</v>
      </c>
      <c r="D510" s="2">
        <f t="shared" si="57"/>
        <v>7.0669090372648125E-3</v>
      </c>
      <c r="E510" s="5">
        <f t="shared" si="61"/>
        <v>3.4870337071585489E-2</v>
      </c>
      <c r="F510" s="5">
        <f t="shared" si="58"/>
        <v>3.4269227475869135E-2</v>
      </c>
      <c r="G510" s="1">
        <v>58166</v>
      </c>
      <c r="H510" s="2">
        <v>1106.9007021480652</v>
      </c>
      <c r="I510" s="5">
        <f t="shared" si="62"/>
        <v>3.4970337038984001E-2</v>
      </c>
      <c r="J510" s="5">
        <f t="shared" si="59"/>
        <v>3.4369249151789738E-2</v>
      </c>
      <c r="K510" s="7">
        <f t="shared" si="60"/>
        <v>1.0002167592060296E-4</v>
      </c>
      <c r="M510" s="7">
        <f t="shared" si="63"/>
        <v>9.9999967398511913E-5</v>
      </c>
    </row>
    <row r="511" spans="1:13" x14ac:dyDescent="0.25">
      <c r="A511">
        <f t="shared" si="56"/>
        <v>42.333333333333442</v>
      </c>
      <c r="B511" s="1">
        <v>58196</v>
      </c>
      <c r="C511" s="2">
        <v>1106.3731613032842</v>
      </c>
      <c r="D511" s="2">
        <f t="shared" si="57"/>
        <v>3.615511674285532E-3</v>
      </c>
      <c r="E511" s="5">
        <f t="shared" si="61"/>
        <v>3.4873671731967537E-2</v>
      </c>
      <c r="F511" s="5">
        <f t="shared" si="58"/>
        <v>3.4288798926197739E-2</v>
      </c>
      <c r="G511" s="1">
        <v>58196</v>
      </c>
      <c r="H511" s="2">
        <v>1110.9116594873535</v>
      </c>
      <c r="I511" s="5">
        <f t="shared" si="62"/>
        <v>3.4973671699237041E-2</v>
      </c>
      <c r="J511" s="5">
        <f t="shared" si="59"/>
        <v>3.4388822332040325E-2</v>
      </c>
      <c r="K511" s="7">
        <f t="shared" si="60"/>
        <v>1.000234058425864E-4</v>
      </c>
      <c r="M511" s="7">
        <f t="shared" si="63"/>
        <v>9.9999967269503998E-5</v>
      </c>
    </row>
    <row r="512" spans="1:13" x14ac:dyDescent="0.25">
      <c r="A512">
        <f t="shared" si="56"/>
        <v>42.416666666666778</v>
      </c>
      <c r="B512" s="1">
        <v>58227</v>
      </c>
      <c r="C512" s="2">
        <v>1108.2882789852586</v>
      </c>
      <c r="D512" s="2">
        <f t="shared" si="57"/>
        <v>1.7309871108210917E-3</v>
      </c>
      <c r="E512" s="5">
        <f t="shared" si="61"/>
        <v>3.4877006403094768E-2</v>
      </c>
      <c r="F512" s="5">
        <f t="shared" si="58"/>
        <v>3.426246421312551E-2</v>
      </c>
      <c r="G512" s="1">
        <v>58227</v>
      </c>
      <c r="H512" s="2">
        <v>1112.843593735289</v>
      </c>
      <c r="I512" s="5">
        <f t="shared" si="62"/>
        <v>3.4977006370234598E-2</v>
      </c>
      <c r="J512" s="5">
        <f t="shared" si="59"/>
        <v>3.4362484910064106E-2</v>
      </c>
      <c r="K512" s="7">
        <f t="shared" si="60"/>
        <v>1.0002069693859639E-4</v>
      </c>
      <c r="M512" s="7">
        <f t="shared" si="63"/>
        <v>9.9999967139829948E-5</v>
      </c>
    </row>
    <row r="513" spans="1:13" x14ac:dyDescent="0.25">
      <c r="A513">
        <f t="shared" si="56"/>
        <v>42.500000000000114</v>
      </c>
      <c r="B513" s="1">
        <v>58257</v>
      </c>
      <c r="C513" s="2">
        <v>1107.2879730889551</v>
      </c>
      <c r="D513" s="2">
        <f t="shared" si="57"/>
        <v>-9.0256832565194234E-4</v>
      </c>
      <c r="E513" s="5">
        <f t="shared" si="61"/>
        <v>3.4880341084967403E-2</v>
      </c>
      <c r="F513" s="5">
        <f t="shared" si="58"/>
        <v>3.4172174428558133E-2</v>
      </c>
      <c r="G513" s="1">
        <v>58257</v>
      </c>
      <c r="H513" s="2">
        <v>1111.8481288249156</v>
      </c>
      <c r="I513" s="5">
        <f t="shared" si="62"/>
        <v>3.4980341051976005E-2</v>
      </c>
      <c r="J513" s="5">
        <f t="shared" si="59"/>
        <v>3.4272186232326307E-2</v>
      </c>
      <c r="K513" s="7">
        <f t="shared" si="60"/>
        <v>1.0001180376817409E-4</v>
      </c>
      <c r="M513" s="7">
        <f t="shared" si="63"/>
        <v>9.9999967008601587E-5</v>
      </c>
    </row>
    <row r="514" spans="1:13" x14ac:dyDescent="0.25">
      <c r="A514">
        <f t="shared" si="56"/>
        <v>42.583333333333449</v>
      </c>
      <c r="B514" s="1">
        <v>58288</v>
      </c>
      <c r="C514" s="2">
        <v>1111.7831491204206</v>
      </c>
      <c r="D514" s="2">
        <f t="shared" si="57"/>
        <v>4.059626890848822E-3</v>
      </c>
      <c r="E514" s="5">
        <f t="shared" si="61"/>
        <v>3.4883675777585221E-2</v>
      </c>
      <c r="F514" s="5">
        <f t="shared" si="58"/>
        <v>3.420256381364073E-2</v>
      </c>
      <c r="G514" s="1">
        <v>58288</v>
      </c>
      <c r="H514" s="2">
        <v>1116.3708062720302</v>
      </c>
      <c r="I514" s="5">
        <f t="shared" si="62"/>
        <v>3.4983675744461928E-2</v>
      </c>
      <c r="J514" s="5">
        <f t="shared" si="59"/>
        <v>3.4302578395414063E-2</v>
      </c>
      <c r="K514" s="7">
        <f t="shared" si="60"/>
        <v>1.0001458177333333E-4</v>
      </c>
      <c r="M514" s="7">
        <f t="shared" si="63"/>
        <v>9.9999966876707092E-5</v>
      </c>
    </row>
    <row r="515" spans="1:13" x14ac:dyDescent="0.25">
      <c r="A515">
        <f t="shared" si="56"/>
        <v>42.666666666666785</v>
      </c>
      <c r="B515" s="1">
        <v>58319</v>
      </c>
      <c r="C515" s="2">
        <v>1117.0308083926811</v>
      </c>
      <c r="D515" s="2">
        <f t="shared" si="57"/>
        <v>4.7200385042822646E-3</v>
      </c>
      <c r="E515" s="5">
        <f t="shared" si="61"/>
        <v>3.4887010480948666E-2</v>
      </c>
      <c r="F515" s="5">
        <f t="shared" si="58"/>
        <v>3.4248773801488497E-2</v>
      </c>
      <c r="G515" s="1">
        <v>58319</v>
      </c>
      <c r="H515" s="2">
        <v>1121.6491508480897</v>
      </c>
      <c r="I515" s="5">
        <f t="shared" si="62"/>
        <v>3.4987010447691924E-2</v>
      </c>
      <c r="J515" s="5">
        <f t="shared" si="59"/>
        <v>3.4348792691845542E-2</v>
      </c>
      <c r="K515" s="7">
        <f t="shared" si="60"/>
        <v>1.0001889035704536E-4</v>
      </c>
      <c r="M515" s="7">
        <f t="shared" si="63"/>
        <v>9.9999966743258284E-5</v>
      </c>
    </row>
    <row r="516" spans="1:13" x14ac:dyDescent="0.25">
      <c r="A516">
        <f t="shared" si="56"/>
        <v>42.750000000000121</v>
      </c>
      <c r="B516" s="1">
        <v>58349</v>
      </c>
      <c r="C516" s="2">
        <v>1118.6000565928914</v>
      </c>
      <c r="D516" s="2">
        <f t="shared" si="57"/>
        <v>1.4048387819027841E-3</v>
      </c>
      <c r="E516" s="5">
        <f t="shared" si="61"/>
        <v>3.4890345195057293E-2</v>
      </c>
      <c r="F516" s="5">
        <f t="shared" si="58"/>
        <v>3.4214845543242056E-2</v>
      </c>
      <c r="G516" s="1">
        <v>58349</v>
      </c>
      <c r="H516" s="2">
        <v>1123.2339312207514</v>
      </c>
      <c r="I516" s="5">
        <f t="shared" si="62"/>
        <v>3.4990345161666436E-2</v>
      </c>
      <c r="J516" s="5">
        <f t="shared" si="59"/>
        <v>3.4314860992892493E-2</v>
      </c>
      <c r="K516" s="7">
        <f t="shared" si="60"/>
        <v>1.0001544965043685E-4</v>
      </c>
      <c r="M516" s="7">
        <f t="shared" si="63"/>
        <v>9.9999966609143343E-5</v>
      </c>
    </row>
    <row r="517" spans="1:13" x14ac:dyDescent="0.25">
      <c r="A517">
        <f t="shared" ref="A517:A580" si="64">A516+1/12</f>
        <v>42.833333333333456</v>
      </c>
      <c r="B517" s="1">
        <v>58380</v>
      </c>
      <c r="C517" s="2">
        <v>1120.4955076647523</v>
      </c>
      <c r="D517" s="2">
        <f t="shared" ref="D517:D580" si="65">C517/C516-1</f>
        <v>1.6944850491373842E-3</v>
      </c>
      <c r="E517" s="5">
        <f t="shared" si="61"/>
        <v>3.4893679919911547E-2</v>
      </c>
      <c r="F517" s="5">
        <f t="shared" ref="F517:F580" si="66">(C517/$C$3)^(1/A517)-1</f>
        <v>3.4188032918935907E-2</v>
      </c>
      <c r="G517" s="1">
        <v>58380</v>
      </c>
      <c r="H517" s="2">
        <v>1125.1462938678669</v>
      </c>
      <c r="I517" s="5">
        <f t="shared" si="62"/>
        <v>3.4993679886385465E-2</v>
      </c>
      <c r="J517" s="5">
        <f t="shared" ref="J517:J580" si="67">(H517/$H$3)^(1/A517)-1</f>
        <v>3.4288045616639229E-2</v>
      </c>
      <c r="K517" s="7">
        <f t="shared" ref="K517:K580" si="68">J517-F517</f>
        <v>1.0001269770332222E-4</v>
      </c>
      <c r="M517" s="7">
        <f t="shared" si="63"/>
        <v>9.9999966473918178E-5</v>
      </c>
    </row>
    <row r="518" spans="1:13" x14ac:dyDescent="0.25">
      <c r="A518">
        <f t="shared" si="64"/>
        <v>42.916666666666792</v>
      </c>
      <c r="B518" s="1">
        <v>58410</v>
      </c>
      <c r="C518" s="2">
        <v>1124.8986785553654</v>
      </c>
      <c r="D518" s="2">
        <f t="shared" si="65"/>
        <v>3.9296640285420015E-3</v>
      </c>
      <c r="E518" s="5">
        <f t="shared" si="61"/>
        <v>3.4897014655511205E-2</v>
      </c>
      <c r="F518" s="5">
        <f t="shared" si="66"/>
        <v>3.4215036517896591E-2</v>
      </c>
      <c r="G518" s="1">
        <v>58410</v>
      </c>
      <c r="H518" s="2">
        <v>1129.5768360039028</v>
      </c>
      <c r="I518" s="5">
        <f t="shared" si="62"/>
        <v>3.499701462184901E-2</v>
      </c>
      <c r="J518" s="5">
        <f t="shared" si="67"/>
        <v>3.4315051668648122E-2</v>
      </c>
      <c r="K518" s="7">
        <f t="shared" si="68"/>
        <v>1.0001515075153122E-4</v>
      </c>
      <c r="M518" s="7">
        <f t="shared" si="63"/>
        <v>9.9999966337804835E-5</v>
      </c>
    </row>
    <row r="519" spans="1:13" x14ac:dyDescent="0.25">
      <c r="A519">
        <f t="shared" si="64"/>
        <v>43.000000000000128</v>
      </c>
      <c r="B519" s="1">
        <v>58441</v>
      </c>
      <c r="C519" s="2">
        <v>1120.8081923905675</v>
      </c>
      <c r="D519" s="2">
        <f t="shared" si="65"/>
        <v>-3.6363152013398903E-3</v>
      </c>
      <c r="E519" s="5">
        <f t="shared" si="61"/>
        <v>3.4900349401856712E-2</v>
      </c>
      <c r="F519" s="5">
        <f t="shared" si="66"/>
        <v>3.4059999999999979E-2</v>
      </c>
      <c r="G519" s="1">
        <v>58441</v>
      </c>
      <c r="H519" s="2">
        <v>1125.4784008021256</v>
      </c>
      <c r="I519" s="5">
        <f t="shared" si="62"/>
        <v>3.5000349368057515E-2</v>
      </c>
      <c r="J519" s="5">
        <f t="shared" si="67"/>
        <v>3.4159999999999968E-2</v>
      </c>
      <c r="K519" s="7">
        <f t="shared" si="68"/>
        <v>9.9999999999988987E-5</v>
      </c>
      <c r="M519" s="7">
        <f t="shared" si="63"/>
        <v>9.9999966200803314E-5</v>
      </c>
    </row>
    <row r="520" spans="1:13" x14ac:dyDescent="0.25">
      <c r="A520">
        <f t="shared" si="64"/>
        <v>43.083333333333464</v>
      </c>
      <c r="B520" s="1">
        <v>58472</v>
      </c>
      <c r="C520" s="2">
        <v>1127.9085771920184</v>
      </c>
      <c r="D520" s="2">
        <f t="shared" si="65"/>
        <v>6.3350579070149404E-3</v>
      </c>
      <c r="E520" s="5">
        <f t="shared" si="61"/>
        <v>3.4903684062213447E-2</v>
      </c>
      <c r="F520" s="5">
        <f t="shared" si="66"/>
        <v>3.4144584582610937E-2</v>
      </c>
      <c r="G520" s="1">
        <v>58472</v>
      </c>
      <c r="H520" s="2">
        <v>1132.6174909927231</v>
      </c>
      <c r="I520" s="5">
        <f t="shared" si="62"/>
        <v>3.5003684028286797E-2</v>
      </c>
      <c r="J520" s="5">
        <f t="shared" si="67"/>
        <v>3.4244592597846735E-2</v>
      </c>
      <c r="K520" s="7">
        <f t="shared" si="68"/>
        <v>1.0000801523579739E-4</v>
      </c>
      <c r="M520" s="7">
        <f t="shared" si="63"/>
        <v>9.9999966073349711E-5</v>
      </c>
    </row>
    <row r="521" spans="1:13" x14ac:dyDescent="0.25">
      <c r="A521">
        <f t="shared" si="64"/>
        <v>43.166666666666799</v>
      </c>
      <c r="B521" s="1">
        <v>58501</v>
      </c>
      <c r="C521" s="2">
        <v>1132.8626889202585</v>
      </c>
      <c r="D521" s="2">
        <f t="shared" si="65"/>
        <v>4.3922990111251448E-3</v>
      </c>
      <c r="E521" s="5">
        <f t="shared" si="61"/>
        <v>3.4907018733315365E-2</v>
      </c>
      <c r="F521" s="5">
        <f t="shared" si="66"/>
        <v>3.4182552311969872E-2</v>
      </c>
      <c r="G521" s="1">
        <v>58501</v>
      </c>
      <c r="H521" s="2">
        <v>1137.6014451554684</v>
      </c>
      <c r="I521" s="5">
        <f t="shared" si="62"/>
        <v>3.5007018699260595E-2</v>
      </c>
      <c r="J521" s="5">
        <f t="shared" si="67"/>
        <v>3.4282563834927338E-2</v>
      </c>
      <c r="K521" s="7">
        <f t="shared" si="68"/>
        <v>1.0001152295746607E-4</v>
      </c>
      <c r="M521" s="7">
        <f t="shared" si="63"/>
        <v>9.9999965945229974E-5</v>
      </c>
    </row>
    <row r="522" spans="1:13" x14ac:dyDescent="0.25">
      <c r="A522">
        <f t="shared" si="64"/>
        <v>43.250000000000135</v>
      </c>
      <c r="B522" s="1">
        <v>58532</v>
      </c>
      <c r="C522" s="2">
        <v>1140.8722026060423</v>
      </c>
      <c r="D522" s="2">
        <f t="shared" si="65"/>
        <v>7.0701540125905904E-3</v>
      </c>
      <c r="E522" s="5">
        <f t="shared" si="61"/>
        <v>3.4910353415162243E-2</v>
      </c>
      <c r="F522" s="5">
        <f t="shared" si="66"/>
        <v>3.4284046710585825E-2</v>
      </c>
      <c r="G522" s="1">
        <v>58532</v>
      </c>
      <c r="H522" s="2">
        <v>1145.6536868879216</v>
      </c>
      <c r="I522" s="5">
        <f t="shared" si="62"/>
        <v>3.5010353380978021E-2</v>
      </c>
      <c r="J522" s="5">
        <f t="shared" si="67"/>
        <v>3.4384067885276037E-2</v>
      </c>
      <c r="K522" s="7">
        <f t="shared" si="68"/>
        <v>1.0002117469021243E-4</v>
      </c>
      <c r="M522" s="7">
        <f t="shared" si="63"/>
        <v>9.9999965815777969E-5</v>
      </c>
    </row>
    <row r="523" spans="1:13" x14ac:dyDescent="0.25">
      <c r="A523">
        <f t="shared" si="64"/>
        <v>43.333333333333471</v>
      </c>
      <c r="B523" s="1">
        <v>58562</v>
      </c>
      <c r="C523" s="2">
        <v>1145.000728787817</v>
      </c>
      <c r="D523" s="2">
        <f t="shared" si="65"/>
        <v>3.6187455285037196E-3</v>
      </c>
      <c r="E523" s="5">
        <f t="shared" si="61"/>
        <v>3.4913688107754082E-2</v>
      </c>
      <c r="F523" s="5">
        <f t="shared" si="66"/>
        <v>3.4303215191751502E-2</v>
      </c>
      <c r="G523" s="1">
        <v>58562</v>
      </c>
      <c r="H523" s="2">
        <v>1149.8087738097906</v>
      </c>
      <c r="I523" s="5">
        <f t="shared" si="62"/>
        <v>3.5013688073439297E-2</v>
      </c>
      <c r="J523" s="5">
        <f t="shared" si="67"/>
        <v>3.4403238057397534E-2</v>
      </c>
      <c r="K523" s="7">
        <f t="shared" si="68"/>
        <v>1.0002286564603224E-4</v>
      </c>
      <c r="M523" s="7">
        <f t="shared" si="63"/>
        <v>9.9999965685215741E-5</v>
      </c>
    </row>
    <row r="524" spans="1:13" x14ac:dyDescent="0.25">
      <c r="A524">
        <f t="shared" si="64"/>
        <v>43.416666666666806</v>
      </c>
      <c r="B524" s="1">
        <v>58593</v>
      </c>
      <c r="C524" s="2">
        <v>1146.9864061038518</v>
      </c>
      <c r="D524" s="2">
        <f t="shared" si="65"/>
        <v>1.7342148927161904E-3</v>
      </c>
      <c r="E524" s="5">
        <f t="shared" si="61"/>
        <v>3.4917022811091103E-2</v>
      </c>
      <c r="F524" s="5">
        <f t="shared" si="66"/>
        <v>3.4277535759986044E-2</v>
      </c>
      <c r="G524" s="1">
        <v>58593</v>
      </c>
      <c r="H524" s="2">
        <v>1151.8120632039606</v>
      </c>
      <c r="I524" s="5">
        <f t="shared" si="62"/>
        <v>3.5017022776644646E-2</v>
      </c>
      <c r="J524" s="5">
        <f t="shared" si="67"/>
        <v>3.4377555980171559E-2</v>
      </c>
      <c r="K524" s="7">
        <f t="shared" si="68"/>
        <v>1.0002022018551493E-4</v>
      </c>
      <c r="M524" s="7">
        <f t="shared" si="63"/>
        <v>9.9999965553543291E-5</v>
      </c>
    </row>
    <row r="525" spans="1:13" x14ac:dyDescent="0.25">
      <c r="A525">
        <f t="shared" si="64"/>
        <v>43.500000000000142</v>
      </c>
      <c r="B525" s="1">
        <v>58623</v>
      </c>
      <c r="C525" s="2">
        <v>1145.9548649925459</v>
      </c>
      <c r="D525" s="2">
        <f t="shared" si="65"/>
        <v>-8.9934902961041896E-4</v>
      </c>
      <c r="E525" s="5">
        <f t="shared" si="61"/>
        <v>3.4920357525173307E-2</v>
      </c>
      <c r="F525" s="5">
        <f t="shared" si="66"/>
        <v>3.4189367964273965E-2</v>
      </c>
      <c r="G525" s="1">
        <v>58623</v>
      </c>
      <c r="H525" s="2">
        <v>1150.7854477716123</v>
      </c>
      <c r="I525" s="5">
        <f t="shared" si="62"/>
        <v>3.5020357490594067E-2</v>
      </c>
      <c r="J525" s="5">
        <f t="shared" si="67"/>
        <v>3.4289379496675654E-2</v>
      </c>
      <c r="K525" s="7">
        <f t="shared" si="68"/>
        <v>1.0001153240168925E-4</v>
      </c>
      <c r="M525" s="7">
        <f t="shared" si="63"/>
        <v>9.9999965420760617E-5</v>
      </c>
    </row>
    <row r="526" spans="1:13" x14ac:dyDescent="0.25">
      <c r="A526">
        <f t="shared" si="64"/>
        <v>43.583333333333478</v>
      </c>
      <c r="B526" s="1">
        <v>58654</v>
      </c>
      <c r="C526" s="2">
        <v>1150.6107216690384</v>
      </c>
      <c r="D526" s="2">
        <f t="shared" si="65"/>
        <v>4.0628621760969708E-3</v>
      </c>
      <c r="E526" s="5">
        <f t="shared" si="61"/>
        <v>3.4923692250000249E-2</v>
      </c>
      <c r="F526" s="5">
        <f t="shared" si="66"/>
        <v>3.4219104147950485E-2</v>
      </c>
      <c r="G526" s="1">
        <v>58654</v>
      </c>
      <c r="H526" s="2">
        <v>1155.4702337890344</v>
      </c>
      <c r="I526" s="5">
        <f t="shared" si="62"/>
        <v>3.5023692215287783E-2</v>
      </c>
      <c r="J526" s="5">
        <f t="shared" si="67"/>
        <v>3.431911839512769E-2</v>
      </c>
      <c r="K526" s="7">
        <f t="shared" si="68"/>
        <v>1.0001424717720475E-4</v>
      </c>
      <c r="M526" s="7">
        <f t="shared" si="63"/>
        <v>9.9999965287533854E-5</v>
      </c>
    </row>
    <row r="527" spans="1:13" x14ac:dyDescent="0.25">
      <c r="A527">
        <f t="shared" si="64"/>
        <v>43.666666666666814</v>
      </c>
      <c r="B527" s="1">
        <v>58685</v>
      </c>
      <c r="C527" s="2">
        <v>1156.0453735811284</v>
      </c>
      <c r="D527" s="2">
        <f t="shared" si="65"/>
        <v>4.723275917511538E-3</v>
      </c>
      <c r="E527" s="5">
        <f t="shared" si="61"/>
        <v>3.4927026985572596E-2</v>
      </c>
      <c r="F527" s="5">
        <f t="shared" si="66"/>
        <v>3.4264301342880943E-2</v>
      </c>
      <c r="G527" s="1">
        <v>58685</v>
      </c>
      <c r="H527" s="2">
        <v>1160.9371858841041</v>
      </c>
      <c r="I527" s="5">
        <f t="shared" si="62"/>
        <v>3.502702695072557E-2</v>
      </c>
      <c r="J527" s="5">
        <f t="shared" si="67"/>
        <v>3.4364319800594734E-2</v>
      </c>
      <c r="K527" s="7">
        <f t="shared" si="68"/>
        <v>1.0001845771379081E-4</v>
      </c>
      <c r="M527" s="7">
        <f t="shared" si="63"/>
        <v>9.9999965152974823E-5</v>
      </c>
    </row>
    <row r="528" spans="1:13" x14ac:dyDescent="0.25">
      <c r="A528">
        <f t="shared" si="64"/>
        <v>43.750000000000149</v>
      </c>
      <c r="B528" s="1">
        <v>58715</v>
      </c>
      <c r="C528" s="2">
        <v>1157.6731612029942</v>
      </c>
      <c r="D528" s="2">
        <f t="shared" si="65"/>
        <v>1.4080655128814179E-3</v>
      </c>
      <c r="E528" s="5">
        <f t="shared" ref="E528:E591" si="69">C528/C516-1</f>
        <v>3.4930361731890347E-2</v>
      </c>
      <c r="F528" s="5">
        <f t="shared" si="66"/>
        <v>3.4231194673372878E-2</v>
      </c>
      <c r="G528" s="1">
        <v>58715</v>
      </c>
      <c r="H528" s="2">
        <v>1162.5812221016536</v>
      </c>
      <c r="I528" s="5">
        <f t="shared" ref="I528:I591" si="70">H528/H516-1</f>
        <v>3.5030361696907431E-2</v>
      </c>
      <c r="J528" s="5">
        <f t="shared" si="67"/>
        <v>3.4331209769862037E-2</v>
      </c>
      <c r="K528" s="7">
        <f t="shared" si="68"/>
        <v>1.0001509648915885E-4</v>
      </c>
      <c r="M528" s="7">
        <f t="shared" ref="M528:M591" si="71">I528-E528</f>
        <v>9.9999965017083525E-5</v>
      </c>
    </row>
    <row r="529" spans="1:13" x14ac:dyDescent="0.25">
      <c r="A529">
        <f t="shared" si="64"/>
        <v>43.833333333333485</v>
      </c>
      <c r="B529" s="1">
        <v>58746</v>
      </c>
      <c r="C529" s="2">
        <v>1159.6385576467483</v>
      </c>
      <c r="D529" s="2">
        <f t="shared" si="65"/>
        <v>1.6977127134154557E-3</v>
      </c>
      <c r="E529" s="5">
        <f t="shared" si="69"/>
        <v>3.4933696488953281E-2</v>
      </c>
      <c r="F529" s="5">
        <f t="shared" si="66"/>
        <v>3.4205038265187948E-2</v>
      </c>
      <c r="G529" s="1">
        <v>58746</v>
      </c>
      <c r="H529" s="2">
        <v>1164.5643275933896</v>
      </c>
      <c r="I529" s="5">
        <f t="shared" si="70"/>
        <v>3.5033696453833585E-2</v>
      </c>
      <c r="J529" s="5">
        <f t="shared" si="67"/>
        <v>3.4305050673191895E-2</v>
      </c>
      <c r="K529" s="7">
        <f t="shared" si="68"/>
        <v>1.0001240800394662E-4</v>
      </c>
      <c r="M529" s="7">
        <f t="shared" si="71"/>
        <v>9.9999964880304049E-5</v>
      </c>
    </row>
    <row r="530" spans="1:13" x14ac:dyDescent="0.25">
      <c r="A530">
        <f t="shared" si="64"/>
        <v>43.916666666666821</v>
      </c>
      <c r="B530" s="1">
        <v>58776</v>
      </c>
      <c r="C530" s="2">
        <v>1164.1992988487436</v>
      </c>
      <c r="D530" s="2">
        <f t="shared" si="65"/>
        <v>3.9328988950233512E-3</v>
      </c>
      <c r="E530" s="5">
        <f t="shared" si="69"/>
        <v>3.4937031256761175E-2</v>
      </c>
      <c r="F530" s="5">
        <f t="shared" si="66"/>
        <v>3.4231471020556015E-2</v>
      </c>
      <c r="G530" s="1">
        <v>58776</v>
      </c>
      <c r="H530" s="2">
        <v>1169.1538548740591</v>
      </c>
      <c r="I530" s="5">
        <f t="shared" si="70"/>
        <v>3.5037031221503812E-2</v>
      </c>
      <c r="J530" s="5">
        <f t="shared" si="67"/>
        <v>3.4331485826293529E-2</v>
      </c>
      <c r="K530" s="7">
        <f t="shared" si="68"/>
        <v>1.0001480573751387E-4</v>
      </c>
      <c r="M530" s="7">
        <f t="shared" si="71"/>
        <v>9.9999964742636394E-5</v>
      </c>
    </row>
    <row r="531" spans="1:13" x14ac:dyDescent="0.25">
      <c r="A531">
        <f t="shared" si="64"/>
        <v>44.000000000000156</v>
      </c>
      <c r="B531" s="1">
        <v>58807</v>
      </c>
      <c r="C531" s="2">
        <v>1159.9696408880741</v>
      </c>
      <c r="D531" s="2">
        <f t="shared" si="65"/>
        <v>-3.6331047139885886E-3</v>
      </c>
      <c r="E531" s="5">
        <f t="shared" si="69"/>
        <v>3.4940366035315362E-2</v>
      </c>
      <c r="F531" s="5">
        <f t="shared" si="66"/>
        <v>3.4079999999999888E-2</v>
      </c>
      <c r="G531" s="1">
        <v>58807</v>
      </c>
      <c r="H531" s="2">
        <v>1164.9155758912336</v>
      </c>
      <c r="I531" s="5">
        <f t="shared" si="70"/>
        <v>3.5040365999917222E-2</v>
      </c>
      <c r="J531" s="5">
        <f t="shared" si="67"/>
        <v>3.4179999999999877E-2</v>
      </c>
      <c r="K531" s="7">
        <f t="shared" si="68"/>
        <v>9.9999999999988987E-5</v>
      </c>
      <c r="M531" s="7">
        <f t="shared" si="71"/>
        <v>9.9999964601860114E-5</v>
      </c>
    </row>
    <row r="532" spans="1:13" x14ac:dyDescent="0.25">
      <c r="A532">
        <f t="shared" si="64"/>
        <v>44.083333333333492</v>
      </c>
      <c r="B532" s="1">
        <v>58838</v>
      </c>
      <c r="C532" s="2">
        <v>1167.3218769618284</v>
      </c>
      <c r="D532" s="2">
        <f t="shared" si="65"/>
        <v>6.3383004301089674E-3</v>
      </c>
      <c r="E532" s="5">
        <f t="shared" si="69"/>
        <v>3.4943700727882776E-2</v>
      </c>
      <c r="F532" s="5">
        <f t="shared" si="66"/>
        <v>3.4162705139545668E-2</v>
      </c>
      <c r="G532" s="1">
        <v>58838</v>
      </c>
      <c r="H532" s="2">
        <v>1172.3085993459949</v>
      </c>
      <c r="I532" s="5">
        <f t="shared" si="70"/>
        <v>3.5043700692352076E-2</v>
      </c>
      <c r="J532" s="5">
        <f t="shared" si="67"/>
        <v>3.426271297295469E-2</v>
      </c>
      <c r="K532" s="7">
        <f t="shared" si="68"/>
        <v>1.0000783340902153E-4</v>
      </c>
      <c r="M532" s="7">
        <f t="shared" si="71"/>
        <v>9.9999964469299485E-5</v>
      </c>
    </row>
    <row r="533" spans="1:13" x14ac:dyDescent="0.25">
      <c r="A533">
        <f t="shared" si="64"/>
        <v>44.166666666666828</v>
      </c>
      <c r="B533" s="1">
        <v>58866</v>
      </c>
      <c r="C533" s="2">
        <v>1172.4528814486334</v>
      </c>
      <c r="D533" s="2">
        <f t="shared" si="65"/>
        <v>4.3955352744347032E-3</v>
      </c>
      <c r="E533" s="5">
        <f t="shared" si="69"/>
        <v>3.4947035431194928E-2</v>
      </c>
      <c r="F533" s="5">
        <f t="shared" si="66"/>
        <v>3.4199855114066979E-2</v>
      </c>
      <c r="G533" s="1">
        <v>58866</v>
      </c>
      <c r="H533" s="2">
        <v>1177.4710032698388</v>
      </c>
      <c r="I533" s="5">
        <f t="shared" si="70"/>
        <v>3.5047035395530557E-2</v>
      </c>
      <c r="J533" s="5">
        <f t="shared" si="67"/>
        <v>3.4299866376112487E-2</v>
      </c>
      <c r="K533" s="7">
        <f t="shared" si="68"/>
        <v>1.0001126204550737E-4</v>
      </c>
      <c r="M533" s="7">
        <f t="shared" si="71"/>
        <v>9.9999964335628633E-5</v>
      </c>
    </row>
    <row r="534" spans="1:13" x14ac:dyDescent="0.25">
      <c r="A534">
        <f t="shared" si="64"/>
        <v>44.250000000000163</v>
      </c>
      <c r="B534" s="1">
        <v>58897</v>
      </c>
      <c r="C534" s="2">
        <v>1180.746108375552</v>
      </c>
      <c r="D534" s="2">
        <f t="shared" si="65"/>
        <v>7.0733989042457424E-3</v>
      </c>
      <c r="E534" s="5">
        <f t="shared" si="69"/>
        <v>3.4950370145251597E-2</v>
      </c>
      <c r="F534" s="5">
        <f t="shared" si="66"/>
        <v>3.4299100128423188E-2</v>
      </c>
      <c r="G534" s="1">
        <v>58897</v>
      </c>
      <c r="H534" s="2">
        <v>1185.8092726306022</v>
      </c>
      <c r="I534" s="5">
        <f t="shared" si="70"/>
        <v>3.5050370109452667E-2</v>
      </c>
      <c r="J534" s="5">
        <f t="shared" si="67"/>
        <v>3.4399120824539997E-2</v>
      </c>
      <c r="K534" s="7">
        <f t="shared" si="68"/>
        <v>1.000206961168093E-4</v>
      </c>
      <c r="M534" s="7">
        <f t="shared" si="71"/>
        <v>9.9999964201069602E-5</v>
      </c>
    </row>
    <row r="535" spans="1:13" x14ac:dyDescent="0.25">
      <c r="A535">
        <f t="shared" si="64"/>
        <v>44.333333333333499</v>
      </c>
      <c r="B535" s="1">
        <v>58927</v>
      </c>
      <c r="C535" s="2">
        <v>1185.0227463378624</v>
      </c>
      <c r="D535" s="2">
        <f t="shared" si="65"/>
        <v>3.6219792993381628E-3</v>
      </c>
      <c r="E535" s="5">
        <f t="shared" si="69"/>
        <v>3.4953704870053448E-2</v>
      </c>
      <c r="F535" s="5">
        <f t="shared" si="66"/>
        <v>3.431788338325803E-2</v>
      </c>
      <c r="G535" s="1">
        <v>58927</v>
      </c>
      <c r="H535" s="2">
        <v>1190.1138311825989</v>
      </c>
      <c r="I535" s="5">
        <f t="shared" si="70"/>
        <v>3.5053704834118626E-2</v>
      </c>
      <c r="J535" s="5">
        <f t="shared" si="67"/>
        <v>3.4417905733080234E-2</v>
      </c>
      <c r="K535" s="7">
        <f t="shared" si="68"/>
        <v>1.0002234982220415E-4</v>
      </c>
      <c r="M535" s="7">
        <f t="shared" si="71"/>
        <v>9.9999964065178304E-5</v>
      </c>
    </row>
    <row r="536" spans="1:13" x14ac:dyDescent="0.25">
      <c r="A536">
        <f t="shared" si="64"/>
        <v>44.416666666666835</v>
      </c>
      <c r="B536" s="1">
        <v>58958</v>
      </c>
      <c r="C536" s="2">
        <v>1187.0816553291088</v>
      </c>
      <c r="D536" s="2">
        <f t="shared" si="65"/>
        <v>1.7374425913840863E-3</v>
      </c>
      <c r="E536" s="5">
        <f t="shared" si="69"/>
        <v>3.4957039605599816E-2</v>
      </c>
      <c r="F536" s="5">
        <f t="shared" si="66"/>
        <v>3.429282924787791E-2</v>
      </c>
      <c r="G536" s="1">
        <v>58958</v>
      </c>
      <c r="H536" s="2">
        <v>1192.191184280362</v>
      </c>
      <c r="I536" s="5">
        <f t="shared" si="70"/>
        <v>3.5057039569528436E-2</v>
      </c>
      <c r="J536" s="5">
        <f t="shared" si="67"/>
        <v>3.4392849012779614E-2</v>
      </c>
      <c r="K536" s="7">
        <f t="shared" si="68"/>
        <v>1.0001976490170428E-4</v>
      </c>
      <c r="M536" s="7">
        <f t="shared" si="71"/>
        <v>9.9999963928620872E-5</v>
      </c>
    </row>
    <row r="537" spans="1:13" x14ac:dyDescent="0.25">
      <c r="A537">
        <f t="shared" si="64"/>
        <v>44.500000000000171</v>
      </c>
      <c r="B537" s="1">
        <v>58988</v>
      </c>
      <c r="C537" s="2">
        <v>1186.0178760630563</v>
      </c>
      <c r="D537" s="2">
        <f t="shared" si="65"/>
        <v>-8.9612981657738455E-4</v>
      </c>
      <c r="E537" s="5">
        <f t="shared" si="69"/>
        <v>3.4960374351891144E-2</v>
      </c>
      <c r="F537" s="5">
        <f t="shared" si="66"/>
        <v>3.4206687640332412E-2</v>
      </c>
      <c r="G537" s="1">
        <v>58988</v>
      </c>
      <c r="H537" s="2">
        <v>1191.1324163275247</v>
      </c>
      <c r="I537" s="5">
        <f t="shared" si="70"/>
        <v>3.5060374315681875E-2</v>
      </c>
      <c r="J537" s="5">
        <f t="shared" si="67"/>
        <v>3.4306698913564526E-2</v>
      </c>
      <c r="K537" s="7">
        <f t="shared" si="68"/>
        <v>1.0001127323211456E-4</v>
      </c>
      <c r="M537" s="7">
        <f t="shared" si="71"/>
        <v>9.9999963790731172E-5</v>
      </c>
    </row>
    <row r="538" spans="1:13" x14ac:dyDescent="0.25">
      <c r="A538">
        <f t="shared" si="64"/>
        <v>44.583333333333506</v>
      </c>
      <c r="B538" s="1">
        <v>59019</v>
      </c>
      <c r="C538" s="2">
        <v>1190.8403402390879</v>
      </c>
      <c r="D538" s="2">
        <f t="shared" si="65"/>
        <v>4.0660973779245158E-3</v>
      </c>
      <c r="E538" s="5">
        <f t="shared" si="69"/>
        <v>3.4963709108927654E-2</v>
      </c>
      <c r="F538" s="5">
        <f t="shared" si="66"/>
        <v>3.4235799693031588E-2</v>
      </c>
      <c r="G538" s="1">
        <v>59019</v>
      </c>
      <c r="H538" s="2">
        <v>1195.9853059086383</v>
      </c>
      <c r="I538" s="5">
        <f t="shared" si="70"/>
        <v>3.5063709072579385E-2</v>
      </c>
      <c r="J538" s="5">
        <f t="shared" si="67"/>
        <v>3.4335813620623767E-2</v>
      </c>
      <c r="K538" s="7">
        <f t="shared" si="68"/>
        <v>1.0001392759217964E-4</v>
      </c>
      <c r="M538" s="7">
        <f t="shared" si="71"/>
        <v>9.999996365173125E-5</v>
      </c>
    </row>
    <row r="539" spans="1:13" x14ac:dyDescent="0.25">
      <c r="A539">
        <f t="shared" si="64"/>
        <v>44.666666666666842</v>
      </c>
      <c r="B539" s="1">
        <v>59050</v>
      </c>
      <c r="C539" s="2">
        <v>1196.4688628826059</v>
      </c>
      <c r="D539" s="2">
        <f t="shared" si="65"/>
        <v>4.7265132472653626E-3</v>
      </c>
      <c r="E539" s="5">
        <f t="shared" si="69"/>
        <v>3.4967043876708681E-2</v>
      </c>
      <c r="F539" s="5">
        <f t="shared" si="66"/>
        <v>3.428002916169004E-2</v>
      </c>
      <c r="G539" s="1">
        <v>59050</v>
      </c>
      <c r="H539" s="2">
        <v>1201.6478210772445</v>
      </c>
      <c r="I539" s="5">
        <f t="shared" si="70"/>
        <v>3.5067043840220746E-2</v>
      </c>
      <c r="J539" s="5">
        <f t="shared" si="67"/>
        <v>3.438004720613419E-2</v>
      </c>
      <c r="K539" s="7">
        <f t="shared" si="68"/>
        <v>1.0001804444415008E-4</v>
      </c>
      <c r="M539" s="7">
        <f t="shared" si="71"/>
        <v>9.9999963512065193E-5</v>
      </c>
    </row>
    <row r="540" spans="1:13" x14ac:dyDescent="0.25">
      <c r="A540">
        <f t="shared" si="64"/>
        <v>44.750000000000178</v>
      </c>
      <c r="B540" s="1">
        <v>59080</v>
      </c>
      <c r="C540" s="2">
        <v>1198.1574300092659</v>
      </c>
      <c r="D540" s="2">
        <f t="shared" si="65"/>
        <v>1.4112921606599382E-3</v>
      </c>
      <c r="E540" s="5">
        <f t="shared" si="69"/>
        <v>3.4970378655235113E-2</v>
      </c>
      <c r="F540" s="5">
        <f t="shared" si="66"/>
        <v>3.4247706982919235E-2</v>
      </c>
      <c r="G540" s="1">
        <v>59080</v>
      </c>
      <c r="H540" s="2">
        <v>1203.3533857356404</v>
      </c>
      <c r="I540" s="5">
        <f t="shared" si="70"/>
        <v>3.5070378618606179E-2</v>
      </c>
      <c r="J540" s="5">
        <f t="shared" si="67"/>
        <v>3.4347721742031601E-2</v>
      </c>
      <c r="K540" s="7">
        <f t="shared" si="68"/>
        <v>1.0001475911236568E-4</v>
      </c>
      <c r="M540" s="7">
        <f t="shared" si="71"/>
        <v>9.9999963371066869E-5</v>
      </c>
    </row>
    <row r="541" spans="1:13" x14ac:dyDescent="0.25">
      <c r="A541">
        <f t="shared" si="64"/>
        <v>44.833333333333513</v>
      </c>
      <c r="B541" s="1">
        <v>59111</v>
      </c>
      <c r="C541" s="2">
        <v>1200.1954242610864</v>
      </c>
      <c r="D541" s="2">
        <f t="shared" si="65"/>
        <v>1.7009402944692109E-3</v>
      </c>
      <c r="E541" s="5">
        <f t="shared" si="69"/>
        <v>3.4973713444506505E-2</v>
      </c>
      <c r="F541" s="5">
        <f t="shared" si="66"/>
        <v>3.422217721004861E-2</v>
      </c>
      <c r="G541" s="1">
        <v>59111</v>
      </c>
      <c r="H541" s="2">
        <v>1205.4099230642723</v>
      </c>
      <c r="I541" s="5">
        <f t="shared" si="70"/>
        <v>3.5073713407735463E-2</v>
      </c>
      <c r="J541" s="5">
        <f t="shared" si="67"/>
        <v>3.4322189341277287E-2</v>
      </c>
      <c r="K541" s="7">
        <f t="shared" si="68"/>
        <v>1.0001213122867725E-4</v>
      </c>
      <c r="M541" s="7">
        <f t="shared" si="71"/>
        <v>9.9999963228958322E-5</v>
      </c>
    </row>
    <row r="542" spans="1:13" x14ac:dyDescent="0.25">
      <c r="A542">
        <f t="shared" si="64"/>
        <v>44.916666666666849</v>
      </c>
      <c r="B542" s="1">
        <v>59141</v>
      </c>
      <c r="C542" s="2">
        <v>1204.9195538908157</v>
      </c>
      <c r="D542" s="2">
        <f t="shared" si="65"/>
        <v>3.9361336780947553E-3</v>
      </c>
      <c r="E542" s="5">
        <f t="shared" si="69"/>
        <v>3.4977048244522635E-2</v>
      </c>
      <c r="F542" s="5">
        <f t="shared" si="66"/>
        <v>3.4248064295258063E-2</v>
      </c>
      <c r="G542" s="1">
        <v>59141</v>
      </c>
      <c r="H542" s="2">
        <v>1210.1643210035882</v>
      </c>
      <c r="I542" s="5">
        <f t="shared" si="70"/>
        <v>3.5077048207608819E-2</v>
      </c>
      <c r="J542" s="5">
        <f t="shared" si="67"/>
        <v>3.4348078771344825E-2</v>
      </c>
      <c r="K542" s="7">
        <f t="shared" si="68"/>
        <v>1.0001447608676273E-4</v>
      </c>
      <c r="M542" s="7">
        <f t="shared" si="71"/>
        <v>9.9999963086183641E-5</v>
      </c>
    </row>
    <row r="543" spans="1:13" x14ac:dyDescent="0.25">
      <c r="A543">
        <f t="shared" si="64"/>
        <v>45.000000000000185</v>
      </c>
      <c r="B543" s="1">
        <v>59172</v>
      </c>
      <c r="C543" s="2">
        <v>1200.5458232588387</v>
      </c>
      <c r="D543" s="2">
        <f t="shared" si="65"/>
        <v>-3.6298943094198455E-3</v>
      </c>
      <c r="E543" s="5">
        <f t="shared" si="69"/>
        <v>3.4980383055283726E-2</v>
      </c>
      <c r="F543" s="5">
        <f t="shared" si="66"/>
        <v>3.4100000000000019E-2</v>
      </c>
      <c r="G543" s="1">
        <v>59172</v>
      </c>
      <c r="H543" s="2">
        <v>1205.7812604773976</v>
      </c>
      <c r="I543" s="5">
        <f t="shared" si="70"/>
        <v>3.5080383018227801E-2</v>
      </c>
      <c r="J543" s="5">
        <f t="shared" si="67"/>
        <v>3.4200000000000008E-2</v>
      </c>
      <c r="K543" s="7">
        <f t="shared" si="68"/>
        <v>9.9999999999988987E-5</v>
      </c>
      <c r="M543" s="7">
        <f t="shared" si="71"/>
        <v>9.9999962944075094E-5</v>
      </c>
    </row>
    <row r="544" spans="1:13" x14ac:dyDescent="0.25">
      <c r="A544">
        <f t="shared" si="64"/>
        <v>45.08333333333352</v>
      </c>
      <c r="B544" s="1">
        <v>59203</v>
      </c>
      <c r="C544" s="2">
        <v>1208.159136063947</v>
      </c>
      <c r="D544" s="2">
        <f t="shared" si="65"/>
        <v>6.3415428695943188E-3</v>
      </c>
      <c r="E544" s="5">
        <f t="shared" si="69"/>
        <v>3.4983717780056711E-2</v>
      </c>
      <c r="F544" s="5">
        <f t="shared" si="66"/>
        <v>3.4180909076077404E-2</v>
      </c>
      <c r="G544" s="1">
        <v>59203</v>
      </c>
      <c r="H544" s="2">
        <v>1213.4375433529856</v>
      </c>
      <c r="I544" s="5">
        <f t="shared" si="70"/>
        <v>3.5083717742867115E-2</v>
      </c>
      <c r="J544" s="5">
        <f t="shared" si="67"/>
        <v>3.428091673572542E-2</v>
      </c>
      <c r="K544" s="7">
        <f t="shared" si="68"/>
        <v>1.0000765964801595E-4</v>
      </c>
      <c r="M544" s="7">
        <f t="shared" si="71"/>
        <v>9.9999962810404242E-5</v>
      </c>
    </row>
    <row r="545" spans="1:13" x14ac:dyDescent="0.25">
      <c r="A545">
        <f t="shared" si="64"/>
        <v>45.166666666666856</v>
      </c>
      <c r="B545" s="1">
        <v>59231</v>
      </c>
      <c r="C545" s="2">
        <v>1213.473551983913</v>
      </c>
      <c r="D545" s="2">
        <f t="shared" si="65"/>
        <v>4.3987714542967904E-3</v>
      </c>
      <c r="E545" s="5">
        <f t="shared" si="69"/>
        <v>3.4987052515574213E-2</v>
      </c>
      <c r="F545" s="5">
        <f t="shared" si="66"/>
        <v>3.4217277355861109E-2</v>
      </c>
      <c r="G545" s="1">
        <v>59231</v>
      </c>
      <c r="H545" s="2">
        <v>1218.7849901531849</v>
      </c>
      <c r="I545" s="5">
        <f t="shared" si="70"/>
        <v>3.5087052478249614E-2</v>
      </c>
      <c r="J545" s="5">
        <f t="shared" si="67"/>
        <v>3.4317288368548748E-2</v>
      </c>
      <c r="K545" s="7">
        <f t="shared" si="68"/>
        <v>1.0001101268763968E-4</v>
      </c>
      <c r="M545" s="7">
        <f t="shared" si="71"/>
        <v>9.9999962675401122E-5</v>
      </c>
    </row>
    <row r="546" spans="1:13" x14ac:dyDescent="0.25">
      <c r="A546">
        <f t="shared" si="64"/>
        <v>45.250000000000192</v>
      </c>
      <c r="B546" s="1">
        <v>59262</v>
      </c>
      <c r="C546" s="2">
        <v>1222.0608719655186</v>
      </c>
      <c r="D546" s="2">
        <f t="shared" si="65"/>
        <v>7.0766437122309345E-3</v>
      </c>
      <c r="E546" s="5">
        <f t="shared" si="69"/>
        <v>3.4990387261836231E-2</v>
      </c>
      <c r="F546" s="5">
        <f t="shared" si="66"/>
        <v>3.4314372201857291E-2</v>
      </c>
      <c r="G546" s="1">
        <v>59262</v>
      </c>
      <c r="H546" s="2">
        <v>1227.4197791814661</v>
      </c>
      <c r="I546" s="5">
        <f t="shared" si="70"/>
        <v>3.5090387224376407E-2</v>
      </c>
      <c r="J546" s="5">
        <f t="shared" si="67"/>
        <v>3.4414392440554886E-2</v>
      </c>
      <c r="K546" s="7">
        <f t="shared" si="68"/>
        <v>1.0002023869759569E-4</v>
      </c>
      <c r="M546" s="7">
        <f t="shared" si="71"/>
        <v>9.9999962540175957E-5</v>
      </c>
    </row>
    <row r="547" spans="1:13" x14ac:dyDescent="0.25">
      <c r="A547">
        <f t="shared" si="64"/>
        <v>45.333333333333528</v>
      </c>
      <c r="B547" s="1">
        <v>59292</v>
      </c>
      <c r="C547" s="2">
        <v>1226.4911029092152</v>
      </c>
      <c r="D547" s="2">
        <f t="shared" si="65"/>
        <v>3.6252129867895277E-3</v>
      </c>
      <c r="E547" s="5">
        <f t="shared" si="69"/>
        <v>3.4993722018842766E-2</v>
      </c>
      <c r="F547" s="5">
        <f t="shared" si="66"/>
        <v>3.4332786827324879E-2</v>
      </c>
      <c r="G547" s="1">
        <v>59292</v>
      </c>
      <c r="H547" s="2">
        <v>1231.879355100157</v>
      </c>
      <c r="I547" s="5">
        <f t="shared" si="70"/>
        <v>3.5093721981246384E-2</v>
      </c>
      <c r="J547" s="5">
        <f t="shared" si="67"/>
        <v>3.4432808684082383E-2</v>
      </c>
      <c r="K547" s="7">
        <f t="shared" si="68"/>
        <v>1.0002185675750397E-4</v>
      </c>
      <c r="M547" s="7">
        <f t="shared" si="71"/>
        <v>9.9999962403618525E-5</v>
      </c>
    </row>
    <row r="548" spans="1:13" x14ac:dyDescent="0.25">
      <c r="A548">
        <f t="shared" si="64"/>
        <v>45.416666666666863</v>
      </c>
      <c r="B548" s="1">
        <v>59323</v>
      </c>
      <c r="C548" s="2">
        <v>1228.6260194309857</v>
      </c>
      <c r="D548" s="2">
        <f t="shared" si="65"/>
        <v>1.7406702068254454E-3</v>
      </c>
      <c r="E548" s="5">
        <f t="shared" si="69"/>
        <v>3.4997056786594039E-2</v>
      </c>
      <c r="F548" s="5">
        <f t="shared" si="66"/>
        <v>3.4308330015058397E-2</v>
      </c>
      <c r="G548" s="1">
        <v>59323</v>
      </c>
      <c r="H548" s="2">
        <v>1234.0335859305403</v>
      </c>
      <c r="I548" s="5">
        <f t="shared" si="70"/>
        <v>3.5097056748859767E-2</v>
      </c>
      <c r="J548" s="5">
        <f t="shared" si="67"/>
        <v>3.4408349344727807E-2</v>
      </c>
      <c r="K548" s="7">
        <f t="shared" si="68"/>
        <v>1.0001932966940963E-4</v>
      </c>
      <c r="M548" s="7">
        <f t="shared" si="71"/>
        <v>9.9999962265728826E-5</v>
      </c>
    </row>
    <row r="549" spans="1:13" x14ac:dyDescent="0.25">
      <c r="A549">
        <f t="shared" si="64"/>
        <v>45.500000000000199</v>
      </c>
      <c r="B549" s="1">
        <v>59353</v>
      </c>
      <c r="C549" s="2">
        <v>1227.5289661284598</v>
      </c>
      <c r="D549" s="2">
        <f t="shared" si="65"/>
        <v>-8.9291068655206196E-4</v>
      </c>
      <c r="E549" s="5">
        <f t="shared" si="69"/>
        <v>3.5000391565090272E-2</v>
      </c>
      <c r="F549" s="5">
        <f t="shared" si="66"/>
        <v>3.4224125139328487E-2</v>
      </c>
      <c r="G549" s="1">
        <v>59353</v>
      </c>
      <c r="H549" s="2">
        <v>1232.941630501381</v>
      </c>
      <c r="I549" s="5">
        <f t="shared" si="70"/>
        <v>3.5100391527217223E-2</v>
      </c>
      <c r="J549" s="5">
        <f t="shared" si="67"/>
        <v>3.4324136164783692E-2</v>
      </c>
      <c r="K549" s="7">
        <f t="shared" si="68"/>
        <v>1.0001102545520446E-4</v>
      </c>
      <c r="M549" s="7">
        <f t="shared" si="71"/>
        <v>9.9999962126950948E-5</v>
      </c>
    </row>
    <row r="550" spans="1:13" x14ac:dyDescent="0.25">
      <c r="A550">
        <f t="shared" si="64"/>
        <v>45.583333333333535</v>
      </c>
      <c r="B550" s="1">
        <v>59384</v>
      </c>
      <c r="C550" s="2">
        <v>1232.5241896405153</v>
      </c>
      <c r="D550" s="2">
        <f t="shared" si="65"/>
        <v>4.0693324963321231E-3</v>
      </c>
      <c r="E550" s="5">
        <f t="shared" si="69"/>
        <v>3.50037263543308E-2</v>
      </c>
      <c r="F550" s="5">
        <f t="shared" si="66"/>
        <v>3.42526402332195E-2</v>
      </c>
      <c r="G550" s="1">
        <v>59384</v>
      </c>
      <c r="H550" s="2">
        <v>1237.9688467655933</v>
      </c>
      <c r="I550" s="5">
        <f t="shared" si="70"/>
        <v>3.5103726316318307E-2</v>
      </c>
      <c r="J550" s="5">
        <f t="shared" si="67"/>
        <v>3.435265385524966E-2</v>
      </c>
      <c r="K550" s="7">
        <f t="shared" si="68"/>
        <v>1.0001362203015951E-4</v>
      </c>
      <c r="M550" s="7">
        <f t="shared" si="71"/>
        <v>9.9999961987506936E-5</v>
      </c>
    </row>
    <row r="551" spans="1:13" x14ac:dyDescent="0.25">
      <c r="A551">
        <f t="shared" si="64"/>
        <v>45.66666666666687</v>
      </c>
      <c r="B551" s="1">
        <v>59415</v>
      </c>
      <c r="C551" s="2">
        <v>1238.3537215347728</v>
      </c>
      <c r="D551" s="2">
        <f t="shared" si="65"/>
        <v>4.7297504935444046E-3</v>
      </c>
      <c r="E551" s="5">
        <f t="shared" si="69"/>
        <v>3.500706115431651E-2</v>
      </c>
      <c r="F551" s="5">
        <f t="shared" si="66"/>
        <v>3.42959440998436E-2</v>
      </c>
      <c r="G551" s="1">
        <v>59415</v>
      </c>
      <c r="H551" s="2">
        <v>1243.8341445719075</v>
      </c>
      <c r="I551" s="5">
        <f t="shared" si="70"/>
        <v>3.5107061116163019E-2</v>
      </c>
      <c r="J551" s="5">
        <f t="shared" si="67"/>
        <v>3.4395961749119186E-2</v>
      </c>
      <c r="K551" s="7">
        <f t="shared" si="68"/>
        <v>1.0001764927558554E-4</v>
      </c>
      <c r="M551" s="7">
        <f t="shared" si="71"/>
        <v>9.9999961846508612E-5</v>
      </c>
    </row>
    <row r="552" spans="1:13" x14ac:dyDescent="0.25">
      <c r="A552">
        <f t="shared" si="64"/>
        <v>45.750000000000206</v>
      </c>
      <c r="B552" s="1">
        <v>59445</v>
      </c>
      <c r="C552" s="2">
        <v>1240.1053960623528</v>
      </c>
      <c r="D552" s="2">
        <f t="shared" si="65"/>
        <v>1.4145187252387892E-3</v>
      </c>
      <c r="E552" s="5">
        <f t="shared" si="69"/>
        <v>3.5010395965046515E-2</v>
      </c>
      <c r="F552" s="5">
        <f t="shared" si="66"/>
        <v>3.4264371770818203E-2</v>
      </c>
      <c r="G552" s="1">
        <v>59445</v>
      </c>
      <c r="H552" s="2">
        <v>1245.6035995486156</v>
      </c>
      <c r="I552" s="5">
        <f t="shared" si="70"/>
        <v>3.5110395926751581E-2</v>
      </c>
      <c r="J552" s="5">
        <f t="shared" si="67"/>
        <v>3.4364386207303754E-2</v>
      </c>
      <c r="K552" s="7">
        <f t="shared" si="68"/>
        <v>1.0001443648555153E-4</v>
      </c>
      <c r="M552" s="7">
        <f t="shared" si="71"/>
        <v>9.9999961705066198E-5</v>
      </c>
    </row>
    <row r="553" spans="1:13" x14ac:dyDescent="0.25">
      <c r="A553">
        <f t="shared" si="64"/>
        <v>45.833333333333542</v>
      </c>
      <c r="B553" s="1">
        <v>59476</v>
      </c>
      <c r="C553" s="2">
        <v>1242.2187437373791</v>
      </c>
      <c r="D553" s="2">
        <f t="shared" si="65"/>
        <v>1.704167792299538E-3</v>
      </c>
      <c r="E553" s="5">
        <f t="shared" si="69"/>
        <v>3.501373078652148E-2</v>
      </c>
      <c r="F553" s="5">
        <f t="shared" si="66"/>
        <v>3.4239441008362181E-2</v>
      </c>
      <c r="G553" s="1">
        <v>59476</v>
      </c>
      <c r="H553" s="2">
        <v>1247.7363625438193</v>
      </c>
      <c r="I553" s="5">
        <f t="shared" si="70"/>
        <v>3.5113730748083549E-2</v>
      </c>
      <c r="J553" s="5">
        <f t="shared" si="67"/>
        <v>3.4339452874893706E-2</v>
      </c>
      <c r="K553" s="7">
        <f t="shared" si="68"/>
        <v>1.0001186653152416E-4</v>
      </c>
      <c r="M553" s="7">
        <f t="shared" si="71"/>
        <v>9.9999961562069473E-5</v>
      </c>
    </row>
    <row r="554" spans="1:13" x14ac:dyDescent="0.25">
      <c r="A554">
        <f t="shared" si="64"/>
        <v>45.916666666666877</v>
      </c>
      <c r="B554" s="1">
        <v>59506</v>
      </c>
      <c r="C554" s="2">
        <v>1247.1123009747153</v>
      </c>
      <c r="D554" s="2">
        <f t="shared" si="65"/>
        <v>3.939368377757102E-3</v>
      </c>
      <c r="E554" s="5">
        <f t="shared" si="69"/>
        <v>3.5017065618741627E-2</v>
      </c>
      <c r="F554" s="5">
        <f t="shared" si="66"/>
        <v>3.4264805967776812E-2</v>
      </c>
      <c r="G554" s="1">
        <v>59506</v>
      </c>
      <c r="H554" s="2">
        <v>1252.6617408270406</v>
      </c>
      <c r="I554" s="5">
        <f t="shared" si="70"/>
        <v>3.5117065580159812E-2</v>
      </c>
      <c r="J554" s="5">
        <f t="shared" si="67"/>
        <v>3.4364820128572671E-2</v>
      </c>
      <c r="K554" s="7">
        <f t="shared" si="68"/>
        <v>1.0001416079585823E-4</v>
      </c>
      <c r="M554" s="7">
        <f t="shared" si="71"/>
        <v>9.9999961418184569E-5</v>
      </c>
    </row>
    <row r="555" spans="1:13" x14ac:dyDescent="0.25">
      <c r="A555">
        <f t="shared" si="64"/>
        <v>46.000000000000213</v>
      </c>
      <c r="B555" s="1">
        <v>59537</v>
      </c>
      <c r="C555" s="2">
        <v>1242.5894187619926</v>
      </c>
      <c r="D555" s="2">
        <f t="shared" si="65"/>
        <v>-3.6266839876309964E-3</v>
      </c>
      <c r="E555" s="5">
        <f t="shared" si="69"/>
        <v>3.5020400461706735E-2</v>
      </c>
      <c r="F555" s="5">
        <f t="shared" si="66"/>
        <v>3.4119999999999706E-2</v>
      </c>
      <c r="G555" s="1">
        <v>59537</v>
      </c>
      <c r="H555" s="2">
        <v>1248.1287811678876</v>
      </c>
      <c r="I555" s="5">
        <f t="shared" si="70"/>
        <v>3.5120400422978593E-2</v>
      </c>
      <c r="J555" s="5">
        <f t="shared" si="67"/>
        <v>3.4219999999999917E-2</v>
      </c>
      <c r="K555" s="7">
        <f t="shared" si="68"/>
        <v>1.0000000000021103E-4</v>
      </c>
      <c r="M555" s="7">
        <f t="shared" si="71"/>
        <v>9.9999961271857174E-5</v>
      </c>
    </row>
    <row r="556" spans="1:13" x14ac:dyDescent="0.25">
      <c r="A556">
        <f t="shared" si="64"/>
        <v>46.083333333333549</v>
      </c>
      <c r="B556" s="1">
        <v>59568</v>
      </c>
      <c r="C556" s="2">
        <v>1250.4733817474907</v>
      </c>
      <c r="D556" s="2">
        <f t="shared" si="65"/>
        <v>6.3447852254794324E-3</v>
      </c>
      <c r="E556" s="5">
        <f t="shared" si="69"/>
        <v>3.5023735218689067E-2</v>
      </c>
      <c r="F556" s="5">
        <f t="shared" si="66"/>
        <v>3.4199190964035342E-2</v>
      </c>
      <c r="G556" s="1">
        <v>59568</v>
      </c>
      <c r="H556" s="2">
        <v>1256.0580022829706</v>
      </c>
      <c r="I556" s="5">
        <f t="shared" si="70"/>
        <v>3.5123735179822813E-2</v>
      </c>
      <c r="J556" s="5">
        <f t="shared" si="67"/>
        <v>3.4299198457464319E-2</v>
      </c>
      <c r="K556" s="7">
        <f t="shared" si="68"/>
        <v>1.0000749342897741E-4</v>
      </c>
      <c r="M556" s="7">
        <f t="shared" si="71"/>
        <v>9.999996113374543E-5</v>
      </c>
    </row>
    <row r="557" spans="1:13" x14ac:dyDescent="0.25">
      <c r="A557">
        <f t="shared" si="64"/>
        <v>46.166666666666885</v>
      </c>
      <c r="B557" s="1">
        <v>59596</v>
      </c>
      <c r="C557" s="2">
        <v>1255.9779750159182</v>
      </c>
      <c r="D557" s="2">
        <f t="shared" si="65"/>
        <v>4.4020075507205103E-3</v>
      </c>
      <c r="E557" s="5">
        <f t="shared" si="69"/>
        <v>3.5027069986415915E-2</v>
      </c>
      <c r="F557" s="5">
        <f t="shared" si="66"/>
        <v>3.4234811275509314E-2</v>
      </c>
      <c r="G557" s="1">
        <v>59596</v>
      </c>
      <c r="H557" s="2">
        <v>1261.5973357531495</v>
      </c>
      <c r="I557" s="5">
        <f t="shared" si="70"/>
        <v>3.5127069947410217E-2</v>
      </c>
      <c r="J557" s="5">
        <f t="shared" si="67"/>
        <v>3.4334822049642222E-2</v>
      </c>
      <c r="K557" s="7">
        <f t="shared" si="68"/>
        <v>1.0001077413290815E-4</v>
      </c>
      <c r="M557" s="7">
        <f t="shared" si="71"/>
        <v>9.9999960994301418E-5</v>
      </c>
    </row>
    <row r="558" spans="1:13" x14ac:dyDescent="0.25">
      <c r="A558">
        <f t="shared" si="64"/>
        <v>46.25000000000022</v>
      </c>
      <c r="B558" s="1">
        <v>59627</v>
      </c>
      <c r="C558" s="2">
        <v>1264.8701589578016</v>
      </c>
      <c r="D558" s="2">
        <f t="shared" si="65"/>
        <v>7.0798884365552706E-3</v>
      </c>
      <c r="E558" s="5">
        <f t="shared" si="69"/>
        <v>3.5030404764887058E-2</v>
      </c>
      <c r="F558" s="5">
        <f t="shared" si="66"/>
        <v>3.4329848746417202E-2</v>
      </c>
      <c r="G558" s="1">
        <v>59627</v>
      </c>
      <c r="H558" s="2">
        <v>1270.5395327924903</v>
      </c>
      <c r="I558" s="5">
        <f t="shared" si="70"/>
        <v>3.5130404725740805E-2</v>
      </c>
      <c r="J558" s="5">
        <f t="shared" si="67"/>
        <v>3.4429868547478426E-2</v>
      </c>
      <c r="K558" s="7">
        <f t="shared" si="68"/>
        <v>1.000198010612241E-4</v>
      </c>
      <c r="M558" s="7">
        <f t="shared" si="71"/>
        <v>9.9999960853747183E-5</v>
      </c>
    </row>
    <row r="559" spans="1:13" x14ac:dyDescent="0.25">
      <c r="A559">
        <f t="shared" si="64"/>
        <v>46.333333333333556</v>
      </c>
      <c r="B559" s="1">
        <v>59657</v>
      </c>
      <c r="C559" s="2">
        <v>1269.4596727739611</v>
      </c>
      <c r="D559" s="2">
        <f t="shared" si="65"/>
        <v>3.6284465908666963E-3</v>
      </c>
      <c r="E559" s="5">
        <f t="shared" si="69"/>
        <v>3.5033739554102938E-2</v>
      </c>
      <c r="F559" s="5">
        <f t="shared" si="66"/>
        <v>3.4347910290142281E-2</v>
      </c>
      <c r="G559" s="1">
        <v>59657</v>
      </c>
      <c r="H559" s="2">
        <v>1275.1598834759238</v>
      </c>
      <c r="I559" s="5">
        <f t="shared" si="70"/>
        <v>3.5133739514814799E-2</v>
      </c>
      <c r="J559" s="5">
        <f t="shared" si="67"/>
        <v>3.4447931675120946E-2</v>
      </c>
      <c r="K559" s="7">
        <f t="shared" si="68"/>
        <v>1.0002138497866575E-4</v>
      </c>
      <c r="M559" s="7">
        <f t="shared" si="71"/>
        <v>9.999996071186068E-5</v>
      </c>
    </row>
    <row r="560" spans="1:13" x14ac:dyDescent="0.25">
      <c r="A560">
        <f t="shared" si="64"/>
        <v>46.416666666666892</v>
      </c>
      <c r="B560" s="1">
        <v>59688</v>
      </c>
      <c r="C560" s="2">
        <v>1271.6734806271256</v>
      </c>
      <c r="D560" s="2">
        <f t="shared" si="65"/>
        <v>1.7438977390491495E-3</v>
      </c>
      <c r="E560" s="5">
        <f t="shared" si="69"/>
        <v>3.5037074354063114E-2</v>
      </c>
      <c r="F560" s="5">
        <f t="shared" si="66"/>
        <v>3.4324024663394459E-2</v>
      </c>
      <c r="G560" s="1">
        <v>59688</v>
      </c>
      <c r="H560" s="2">
        <v>1277.3939157461336</v>
      </c>
      <c r="I560" s="5">
        <f t="shared" si="70"/>
        <v>3.51370743146322E-2</v>
      </c>
      <c r="J560" s="5">
        <f t="shared" si="67"/>
        <v>3.4424043576586572E-2</v>
      </c>
      <c r="K560" s="7">
        <f t="shared" si="68"/>
        <v>1.0001891319211254E-4</v>
      </c>
      <c r="M560" s="7">
        <f t="shared" si="71"/>
        <v>9.9999960569085999E-5</v>
      </c>
    </row>
    <row r="561" spans="1:13" x14ac:dyDescent="0.25">
      <c r="A561">
        <f t="shared" si="64"/>
        <v>46.500000000000227</v>
      </c>
      <c r="B561" s="1">
        <v>59718</v>
      </c>
      <c r="C561" s="2">
        <v>1270.5420833632049</v>
      </c>
      <c r="D561" s="2">
        <f t="shared" si="65"/>
        <v>-8.8969163952590247E-4</v>
      </c>
      <c r="E561" s="5">
        <f t="shared" si="69"/>
        <v>3.5040409164767361E-2</v>
      </c>
      <c r="F561" s="5">
        <f t="shared" si="66"/>
        <v>3.4241672859372185E-2</v>
      </c>
      <c r="G561" s="1">
        <v>59718</v>
      </c>
      <c r="H561" s="2">
        <v>1276.267703824682</v>
      </c>
      <c r="I561" s="5">
        <f t="shared" si="70"/>
        <v>3.5140409125193006E-2</v>
      </c>
      <c r="J561" s="5">
        <f t="shared" si="67"/>
        <v>3.4341683647708177E-2</v>
      </c>
      <c r="K561" s="7">
        <f t="shared" si="68"/>
        <v>1.0001078833599131E-4</v>
      </c>
      <c r="M561" s="7">
        <f t="shared" si="71"/>
        <v>9.9999960425645185E-5</v>
      </c>
    </row>
    <row r="562" spans="1:13" x14ac:dyDescent="0.25">
      <c r="A562">
        <f t="shared" si="64"/>
        <v>46.583333333333563</v>
      </c>
      <c r="B562" s="1">
        <v>59749</v>
      </c>
      <c r="C562" s="2">
        <v>1275.7164517990964</v>
      </c>
      <c r="D562" s="2">
        <f t="shared" si="65"/>
        <v>4.0725675313284526E-3</v>
      </c>
      <c r="E562" s="5">
        <f t="shared" si="69"/>
        <v>3.5043743986216347E-2</v>
      </c>
      <c r="F562" s="5">
        <f t="shared" si="66"/>
        <v>3.4269616430102623E-2</v>
      </c>
      <c r="G562" s="1">
        <v>59749</v>
      </c>
      <c r="H562" s="2">
        <v>1281.4757069300636</v>
      </c>
      <c r="I562" s="5">
        <f t="shared" si="70"/>
        <v>3.5143743946496997E-2</v>
      </c>
      <c r="J562" s="5">
        <f t="shared" si="67"/>
        <v>3.4369629759690712E-2</v>
      </c>
      <c r="K562" s="7">
        <f t="shared" si="68"/>
        <v>1.0001332958808895E-4</v>
      </c>
      <c r="M562" s="7">
        <f t="shared" si="71"/>
        <v>9.9999960280650058E-5</v>
      </c>
    </row>
    <row r="563" spans="1:13" x14ac:dyDescent="0.25">
      <c r="A563">
        <f t="shared" si="64"/>
        <v>46.666666666666899</v>
      </c>
      <c r="B563" s="1">
        <v>59780</v>
      </c>
      <c r="C563" s="2">
        <v>1281.7544020184735</v>
      </c>
      <c r="D563" s="2">
        <f t="shared" si="65"/>
        <v>4.7329876563573237E-3</v>
      </c>
      <c r="E563" s="5">
        <f t="shared" si="69"/>
        <v>3.5047078818410071E-2</v>
      </c>
      <c r="F563" s="5">
        <f t="shared" si="66"/>
        <v>3.4312034127201629E-2</v>
      </c>
      <c r="G563" s="1">
        <v>59780</v>
      </c>
      <c r="H563" s="2">
        <v>1287.55128123862</v>
      </c>
      <c r="I563" s="5">
        <f t="shared" si="70"/>
        <v>3.5147078778544616E-2</v>
      </c>
      <c r="J563" s="5">
        <f t="shared" si="67"/>
        <v>3.4412051398245769E-2</v>
      </c>
      <c r="K563" s="7">
        <f t="shared" si="68"/>
        <v>1.0001727104413938E-4</v>
      </c>
      <c r="M563" s="7">
        <f t="shared" si="71"/>
        <v>9.9999960134544708E-5</v>
      </c>
    </row>
    <row r="564" spans="1:13" x14ac:dyDescent="0.25">
      <c r="A564">
        <f t="shared" si="64"/>
        <v>46.750000000000234</v>
      </c>
      <c r="B564" s="1">
        <v>59810</v>
      </c>
      <c r="C564" s="2">
        <v>1283.5716031780087</v>
      </c>
      <c r="D564" s="2">
        <f t="shared" si="65"/>
        <v>1.4177452066272966E-3</v>
      </c>
      <c r="E564" s="5">
        <f t="shared" si="69"/>
        <v>3.5050413661348534E-2</v>
      </c>
      <c r="F564" s="5">
        <f t="shared" si="66"/>
        <v>3.4281179251671734E-2</v>
      </c>
      <c r="G564" s="1">
        <v>59810</v>
      </c>
      <c r="H564" s="2">
        <v>1289.3870812809741</v>
      </c>
      <c r="I564" s="5">
        <f t="shared" si="70"/>
        <v>3.5150413621335641E-2</v>
      </c>
      <c r="J564" s="5">
        <f t="shared" si="67"/>
        <v>3.4381193379333652E-2</v>
      </c>
      <c r="K564" s="7">
        <f t="shared" si="68"/>
        <v>1.000141276619182E-4</v>
      </c>
      <c r="M564" s="7">
        <f t="shared" si="71"/>
        <v>9.999995998710709E-5</v>
      </c>
    </row>
    <row r="565" spans="1:13" x14ac:dyDescent="0.25">
      <c r="A565">
        <f t="shared" si="64"/>
        <v>46.83333333333357</v>
      </c>
      <c r="B565" s="1">
        <v>59841</v>
      </c>
      <c r="C565" s="2">
        <v>1285.763167181007</v>
      </c>
      <c r="D565" s="2">
        <f t="shared" si="65"/>
        <v>1.7073952069150966E-3</v>
      </c>
      <c r="E565" s="5">
        <f t="shared" si="69"/>
        <v>3.5053748515031069E-2</v>
      </c>
      <c r="F565" s="5">
        <f t="shared" si="66"/>
        <v>3.4256821661934334E-2</v>
      </c>
      <c r="G565" s="1">
        <v>59841</v>
      </c>
      <c r="H565" s="2">
        <v>1291.5989727956346</v>
      </c>
      <c r="I565" s="5">
        <f t="shared" si="70"/>
        <v>3.5153748474870516E-2</v>
      </c>
      <c r="J565" s="5">
        <f t="shared" si="67"/>
        <v>3.435683327507344E-2</v>
      </c>
      <c r="K565" s="7">
        <f t="shared" si="68"/>
        <v>1.00011613139106E-4</v>
      </c>
      <c r="M565" s="7">
        <f t="shared" si="71"/>
        <v>9.9999959839447428E-5</v>
      </c>
    </row>
    <row r="566" spans="1:13" x14ac:dyDescent="0.25">
      <c r="A566">
        <f t="shared" si="64"/>
        <v>46.916666666666906</v>
      </c>
      <c r="B566" s="1">
        <v>59871</v>
      </c>
      <c r="C566" s="2">
        <v>1290.8324208935339</v>
      </c>
      <c r="D566" s="2">
        <f t="shared" si="65"/>
        <v>3.942602994018829E-3</v>
      </c>
      <c r="E566" s="5">
        <f t="shared" si="69"/>
        <v>3.5057083379458343E-2</v>
      </c>
      <c r="F566" s="5">
        <f t="shared" si="66"/>
        <v>3.4281686548429446E-2</v>
      </c>
      <c r="G566" s="1">
        <v>59871</v>
      </c>
      <c r="H566" s="2">
        <v>1296.7016740450604</v>
      </c>
      <c r="I566" s="5">
        <f t="shared" si="70"/>
        <v>3.515708333914902E-2</v>
      </c>
      <c r="J566" s="5">
        <f t="shared" si="67"/>
        <v>3.438170040737587E-2</v>
      </c>
      <c r="K566" s="7">
        <f t="shared" si="68"/>
        <v>1.0001385894642389E-4</v>
      </c>
      <c r="M566" s="7">
        <f t="shared" si="71"/>
        <v>9.9999959690677542E-5</v>
      </c>
    </row>
    <row r="567" spans="1:13" x14ac:dyDescent="0.25">
      <c r="A567">
        <f t="shared" si="64"/>
        <v>47.000000000000242</v>
      </c>
      <c r="B567" s="1">
        <v>59902</v>
      </c>
      <c r="C567" s="2">
        <v>1286.1551235025652</v>
      </c>
      <c r="D567" s="2">
        <f t="shared" si="65"/>
        <v>-3.623473748614936E-3</v>
      </c>
      <c r="E567" s="5">
        <f t="shared" si="69"/>
        <v>3.5060418254629688E-2</v>
      </c>
      <c r="F567" s="5">
        <f t="shared" si="66"/>
        <v>3.4139999999999837E-2</v>
      </c>
      <c r="G567" s="1">
        <v>59902</v>
      </c>
      <c r="H567" s="2">
        <v>1292.0135110988947</v>
      </c>
      <c r="I567" s="5">
        <f t="shared" si="70"/>
        <v>3.5160418214171596E-2</v>
      </c>
      <c r="J567" s="5">
        <f t="shared" si="67"/>
        <v>3.4239999999999826E-2</v>
      </c>
      <c r="K567" s="7">
        <f t="shared" si="68"/>
        <v>9.9999999999988987E-5</v>
      </c>
      <c r="M567" s="7">
        <f t="shared" si="71"/>
        <v>9.9999959541907657E-5</v>
      </c>
    </row>
    <row r="568" spans="1:13" x14ac:dyDescent="0.25">
      <c r="A568">
        <f t="shared" si="64"/>
        <v>47.083333333333577</v>
      </c>
      <c r="B568" s="1">
        <v>59933</v>
      </c>
      <c r="C568" s="2">
        <v>1294.3196715929485</v>
      </c>
      <c r="D568" s="2">
        <f t="shared" si="65"/>
        <v>6.3480274977631979E-3</v>
      </c>
      <c r="E568" s="5">
        <f t="shared" si="69"/>
        <v>3.5063753043814483E-2</v>
      </c>
      <c r="F568" s="5">
        <f t="shared" si="66"/>
        <v>3.4217545836421337E-2</v>
      </c>
      <c r="G568" s="1">
        <v>59933</v>
      </c>
      <c r="H568" s="2">
        <v>1300.2257156329617</v>
      </c>
      <c r="I568" s="5">
        <f t="shared" si="70"/>
        <v>3.5163753003215836E-2</v>
      </c>
      <c r="J568" s="5">
        <f t="shared" si="67"/>
        <v>3.4317553170692072E-2</v>
      </c>
      <c r="K568" s="7">
        <f t="shared" si="68"/>
        <v>1.0000733427073527E-4</v>
      </c>
      <c r="M568" s="7">
        <f t="shared" si="71"/>
        <v>9.9999959401353422E-5</v>
      </c>
    </row>
    <row r="569" spans="1:13" x14ac:dyDescent="0.25">
      <c r="A569">
        <f t="shared" si="64"/>
        <v>47.166666666666913</v>
      </c>
      <c r="B569" s="1">
        <v>59962</v>
      </c>
      <c r="C569" s="2">
        <v>1300.0214649956085</v>
      </c>
      <c r="D569" s="2">
        <f t="shared" si="65"/>
        <v>4.4052435637038645E-3</v>
      </c>
      <c r="E569" s="5">
        <f t="shared" si="69"/>
        <v>3.5067087843743572E-2</v>
      </c>
      <c r="F569" s="5">
        <f t="shared" si="66"/>
        <v>3.4252449769452742E-2</v>
      </c>
      <c r="G569" s="1">
        <v>59962</v>
      </c>
      <c r="H569" s="2">
        <v>1305.9640400316157</v>
      </c>
      <c r="I569" s="5">
        <f t="shared" si="70"/>
        <v>3.5167087803003483E-2</v>
      </c>
      <c r="J569" s="5">
        <f t="shared" si="67"/>
        <v>3.4352460315146605E-2</v>
      </c>
      <c r="K569" s="7">
        <f t="shared" si="68"/>
        <v>1.000105456938627E-4</v>
      </c>
      <c r="M569" s="7">
        <f t="shared" si="71"/>
        <v>9.9999959259911009E-5</v>
      </c>
    </row>
    <row r="570" spans="1:13" x14ac:dyDescent="0.25">
      <c r="A570">
        <f t="shared" si="64"/>
        <v>47.250000000000249</v>
      </c>
      <c r="B570" s="1">
        <v>59993</v>
      </c>
      <c r="C570" s="2">
        <v>1309.2296900354111</v>
      </c>
      <c r="D570" s="2">
        <f t="shared" si="65"/>
        <v>7.0831330772169743E-3</v>
      </c>
      <c r="E570" s="5">
        <f t="shared" si="69"/>
        <v>3.5070422654416733E-2</v>
      </c>
      <c r="F570" s="5">
        <f t="shared" si="66"/>
        <v>3.4345516778551799E-2</v>
      </c>
      <c r="G570" s="1">
        <v>59993</v>
      </c>
      <c r="H570" s="2">
        <v>1315.2249451080045</v>
      </c>
      <c r="I570" s="5">
        <f t="shared" si="70"/>
        <v>3.5170422613534313E-2</v>
      </c>
      <c r="J570" s="5">
        <f t="shared" si="67"/>
        <v>3.4445536160502055E-2</v>
      </c>
      <c r="K570" s="7">
        <f t="shared" si="68"/>
        <v>1.0001938195025595E-4</v>
      </c>
      <c r="M570" s="7">
        <f t="shared" si="71"/>
        <v>9.9999959117580417E-5</v>
      </c>
    </row>
    <row r="571" spans="1:13" x14ac:dyDescent="0.25">
      <c r="A571">
        <f t="shared" si="64"/>
        <v>47.333333333333584</v>
      </c>
      <c r="B571" s="1">
        <v>60023</v>
      </c>
      <c r="C571" s="2">
        <v>1313.984393462187</v>
      </c>
      <c r="D571" s="2">
        <f t="shared" si="65"/>
        <v>3.6316801115678921E-3</v>
      </c>
      <c r="E571" s="5">
        <f t="shared" si="69"/>
        <v>3.5073757475834411E-2</v>
      </c>
      <c r="F571" s="5">
        <f t="shared" si="66"/>
        <v>3.4363239825400349E-2</v>
      </c>
      <c r="G571" s="1">
        <v>60023</v>
      </c>
      <c r="H571" s="2">
        <v>1320.0120479079042</v>
      </c>
      <c r="I571" s="5">
        <f t="shared" si="70"/>
        <v>3.5173757434808106E-2</v>
      </c>
      <c r="J571" s="5">
        <f t="shared" si="67"/>
        <v>3.4463260758536451E-2</v>
      </c>
      <c r="K571" s="7">
        <f t="shared" si="68"/>
        <v>1.0002093313610239E-4</v>
      </c>
      <c r="M571" s="7">
        <f t="shared" si="71"/>
        <v>9.9999958973695513E-5</v>
      </c>
    </row>
    <row r="572" spans="1:13" x14ac:dyDescent="0.25">
      <c r="A572">
        <f t="shared" si="64"/>
        <v>47.41666666666692</v>
      </c>
      <c r="B572" s="1">
        <v>60054</v>
      </c>
      <c r="C572" s="2">
        <v>1316.2800886927139</v>
      </c>
      <c r="D572" s="2">
        <f t="shared" si="65"/>
        <v>1.7471251880534222E-3</v>
      </c>
      <c r="E572" s="5">
        <f t="shared" si="69"/>
        <v>3.5077092307995938E-2</v>
      </c>
      <c r="F572" s="5">
        <f t="shared" si="66"/>
        <v>3.4339900925103972E-2</v>
      </c>
      <c r="G572" s="1">
        <v>60054</v>
      </c>
      <c r="H572" s="2">
        <v>1322.3289193814167</v>
      </c>
      <c r="I572" s="5">
        <f t="shared" si="70"/>
        <v>3.5177092266825305E-2</v>
      </c>
      <c r="J572" s="5">
        <f t="shared" si="67"/>
        <v>3.4439919439386957E-2</v>
      </c>
      <c r="K572" s="7">
        <f t="shared" si="68"/>
        <v>1.0001851428298458E-4</v>
      </c>
      <c r="M572" s="7">
        <f t="shared" si="71"/>
        <v>9.999995882936652E-5</v>
      </c>
    </row>
    <row r="573" spans="1:13" x14ac:dyDescent="0.25">
      <c r="A573">
        <f t="shared" si="64"/>
        <v>47.500000000000256</v>
      </c>
      <c r="B573" s="1">
        <v>60084</v>
      </c>
      <c r="C573" s="2">
        <v>1315.1132423607833</v>
      </c>
      <c r="D573" s="2">
        <f t="shared" si="65"/>
        <v>-8.8647267549990527E-4</v>
      </c>
      <c r="E573" s="5">
        <f t="shared" si="69"/>
        <v>3.5080427150902205E-2</v>
      </c>
      <c r="F573" s="5">
        <f t="shared" si="66"/>
        <v>3.4259323838766287E-2</v>
      </c>
      <c r="G573" s="1">
        <v>60084</v>
      </c>
      <c r="H573" s="2">
        <v>1321.1673467514045</v>
      </c>
      <c r="I573" s="5">
        <f t="shared" si="70"/>
        <v>3.5180427109585688E-2</v>
      </c>
      <c r="J573" s="5">
        <f t="shared" si="67"/>
        <v>3.4359334399967301E-2</v>
      </c>
      <c r="K573" s="7">
        <f t="shared" si="68"/>
        <v>1.0001056120101381E-4</v>
      </c>
      <c r="M573" s="7">
        <f t="shared" si="71"/>
        <v>9.9999958683483214E-5</v>
      </c>
    </row>
    <row r="574" spans="1:13" x14ac:dyDescent="0.25">
      <c r="A574">
        <f t="shared" si="64"/>
        <v>47.583333333333591</v>
      </c>
      <c r="B574" s="1">
        <v>60115</v>
      </c>
      <c r="C574" s="2">
        <v>1320.4733841793077</v>
      </c>
      <c r="D574" s="2">
        <f t="shared" si="65"/>
        <v>4.0758024829119499E-3</v>
      </c>
      <c r="E574" s="5">
        <f t="shared" si="69"/>
        <v>3.5083762004552321E-2</v>
      </c>
      <c r="F574" s="5">
        <f t="shared" si="66"/>
        <v>3.4286719730336479E-2</v>
      </c>
      <c r="G574" s="1">
        <v>60115</v>
      </c>
      <c r="H574" s="2">
        <v>1326.5628431641726</v>
      </c>
      <c r="I574" s="5">
        <f t="shared" si="70"/>
        <v>3.5183761963089477E-2</v>
      </c>
      <c r="J574" s="5">
        <f t="shared" si="67"/>
        <v>3.4386732779774887E-2</v>
      </c>
      <c r="K574" s="7">
        <f t="shared" si="68"/>
        <v>1.0001304943840772E-4</v>
      </c>
      <c r="M574" s="7">
        <f t="shared" si="71"/>
        <v>9.999995853715582E-5</v>
      </c>
    </row>
    <row r="575" spans="1:13" x14ac:dyDescent="0.25">
      <c r="A575">
        <f t="shared" si="64"/>
        <v>47.666666666666927</v>
      </c>
      <c r="B575" s="1">
        <v>60146</v>
      </c>
      <c r="C575" s="2">
        <v>1326.7274428842945</v>
      </c>
      <c r="D575" s="2">
        <f t="shared" si="65"/>
        <v>4.7362247357025655E-3</v>
      </c>
      <c r="E575" s="5">
        <f t="shared" si="69"/>
        <v>3.5087096868946732E-2</v>
      </c>
      <c r="F575" s="5">
        <f t="shared" si="66"/>
        <v>3.432828822323164E-2</v>
      </c>
      <c r="G575" s="1">
        <v>60146</v>
      </c>
      <c r="H575" s="2">
        <v>1332.8564728417243</v>
      </c>
      <c r="I575" s="5">
        <f t="shared" si="70"/>
        <v>3.5187096827336228E-2</v>
      </c>
      <c r="J575" s="5">
        <f t="shared" si="67"/>
        <v>3.4428305131915637E-2</v>
      </c>
      <c r="K575" s="7">
        <f t="shared" si="68"/>
        <v>1.0001690868399749E-4</v>
      </c>
      <c r="M575" s="7">
        <f t="shared" si="71"/>
        <v>9.9999958389496157E-5</v>
      </c>
    </row>
    <row r="576" spans="1:13" x14ac:dyDescent="0.25">
      <c r="A576">
        <f t="shared" si="64"/>
        <v>47.750000000000263</v>
      </c>
      <c r="B576" s="1">
        <v>60176</v>
      </c>
      <c r="C576" s="2">
        <v>1328.6126849079731</v>
      </c>
      <c r="D576" s="2">
        <f t="shared" si="65"/>
        <v>1.4209716048234622E-3</v>
      </c>
      <c r="E576" s="5">
        <f t="shared" si="69"/>
        <v>3.5090431744085659E-2</v>
      </c>
      <c r="F576" s="5">
        <f t="shared" si="66"/>
        <v>3.4298120459856696E-2</v>
      </c>
      <c r="G576" s="1">
        <v>60176</v>
      </c>
      <c r="H576" s="2">
        <v>1334.7611693026547</v>
      </c>
      <c r="I576" s="5">
        <f t="shared" si="70"/>
        <v>3.519043170232683E-2</v>
      </c>
      <c r="J576" s="5">
        <f t="shared" si="67"/>
        <v>3.4398134291631077E-2</v>
      </c>
      <c r="K576" s="7">
        <f t="shared" si="68"/>
        <v>1.000138317743815E-4</v>
      </c>
      <c r="M576" s="7">
        <f t="shared" si="71"/>
        <v>9.9999958241170361E-5</v>
      </c>
    </row>
    <row r="577" spans="1:13" x14ac:dyDescent="0.25">
      <c r="A577">
        <f t="shared" si="64"/>
        <v>47.833333333333599</v>
      </c>
      <c r="B577" s="1">
        <v>60207</v>
      </c>
      <c r="C577" s="2">
        <v>1330.8854397114671</v>
      </c>
      <c r="D577" s="2">
        <f t="shared" si="65"/>
        <v>1.7106225383145546E-3</v>
      </c>
      <c r="E577" s="5">
        <f t="shared" si="69"/>
        <v>3.5093766629969103E-2</v>
      </c>
      <c r="F577" s="5">
        <f t="shared" si="66"/>
        <v>3.4274311841446803E-2</v>
      </c>
      <c r="G577" s="1">
        <v>60207</v>
      </c>
      <c r="H577" s="2">
        <v>1337.055205569583</v>
      </c>
      <c r="I577" s="5">
        <f t="shared" si="70"/>
        <v>3.5193766588060615E-2</v>
      </c>
      <c r="J577" s="5">
        <f t="shared" si="67"/>
        <v>3.4374323211788571E-2</v>
      </c>
      <c r="K577" s="7">
        <f t="shared" si="68"/>
        <v>1.0001137034176821E-4</v>
      </c>
      <c r="M577" s="7">
        <f t="shared" si="71"/>
        <v>9.9999958091512298E-5</v>
      </c>
    </row>
    <row r="578" spans="1:13" x14ac:dyDescent="0.25">
      <c r="A578">
        <f t="shared" si="64"/>
        <v>47.916666666666934</v>
      </c>
      <c r="B578" s="1">
        <v>60237</v>
      </c>
      <c r="C578" s="2">
        <v>1336.1368974234572</v>
      </c>
      <c r="D578" s="2">
        <f t="shared" si="65"/>
        <v>3.9458375268788259E-3</v>
      </c>
      <c r="E578" s="5">
        <f t="shared" si="69"/>
        <v>3.5097101526596841E-2</v>
      </c>
      <c r="F578" s="5">
        <f t="shared" si="66"/>
        <v>3.4298697339768314E-2</v>
      </c>
      <c r="G578" s="1">
        <v>60237</v>
      </c>
      <c r="H578" s="2">
        <v>1342.3418144615941</v>
      </c>
      <c r="I578" s="5">
        <f t="shared" si="70"/>
        <v>3.5197101484537585E-2</v>
      </c>
      <c r="J578" s="5">
        <f t="shared" si="67"/>
        <v>3.439871090946478E-2</v>
      </c>
      <c r="K578" s="7">
        <f t="shared" si="68"/>
        <v>1.0001356969646658E-4</v>
      </c>
      <c r="M578" s="7">
        <f t="shared" si="71"/>
        <v>9.9999957940744011E-5</v>
      </c>
    </row>
    <row r="579" spans="1:13" x14ac:dyDescent="0.25">
      <c r="A579">
        <f t="shared" si="64"/>
        <v>48.00000000000027</v>
      </c>
      <c r="B579" s="1">
        <v>60268</v>
      </c>
      <c r="C579" s="2">
        <v>1331.2997296592905</v>
      </c>
      <c r="D579" s="2">
        <f t="shared" si="65"/>
        <v>-3.6202635923717752E-3</v>
      </c>
      <c r="E579" s="5">
        <f t="shared" si="69"/>
        <v>3.5100436433969096E-2</v>
      </c>
      <c r="F579" s="5">
        <f t="shared" si="66"/>
        <v>3.4159999999999746E-2</v>
      </c>
      <c r="G579" s="1">
        <v>60268</v>
      </c>
      <c r="H579" s="2">
        <v>1337.4929505136213</v>
      </c>
      <c r="I579" s="5">
        <f t="shared" si="70"/>
        <v>3.5200436391756407E-2</v>
      </c>
      <c r="J579" s="5">
        <f t="shared" si="67"/>
        <v>3.4259999999999735E-2</v>
      </c>
      <c r="K579" s="7">
        <f t="shared" si="68"/>
        <v>9.9999999999988987E-5</v>
      </c>
      <c r="M579" s="7">
        <f t="shared" si="71"/>
        <v>9.9999957787311189E-5</v>
      </c>
    </row>
    <row r="580" spans="1:13" x14ac:dyDescent="0.25">
      <c r="A580">
        <f t="shared" si="64"/>
        <v>48.083333333333606</v>
      </c>
      <c r="B580" s="1">
        <v>60299</v>
      </c>
      <c r="C580" s="2">
        <v>1339.7551732758598</v>
      </c>
      <c r="D580" s="2">
        <f t="shared" si="65"/>
        <v>6.3512696864538309E-3</v>
      </c>
      <c r="E580" s="5">
        <f t="shared" si="69"/>
        <v>3.5103771255359906E-2</v>
      </c>
      <c r="F580" s="5">
        <f t="shared" si="66"/>
        <v>3.4235969139450484E-2</v>
      </c>
      <c r="G580" s="1">
        <v>60299</v>
      </c>
      <c r="H580" s="2">
        <v>1345.9985642513686</v>
      </c>
      <c r="I580" s="5">
        <f t="shared" si="70"/>
        <v>3.5203771213003776E-2</v>
      </c>
      <c r="J580" s="5">
        <f t="shared" si="67"/>
        <v>3.4335976321183237E-2</v>
      </c>
      <c r="K580" s="7">
        <f t="shared" si="68"/>
        <v>1.0000718173275303E-4</v>
      </c>
      <c r="M580" s="7">
        <f t="shared" si="71"/>
        <v>9.9999957643870374E-5</v>
      </c>
    </row>
    <row r="581" spans="1:13" x14ac:dyDescent="0.25">
      <c r="A581">
        <f t="shared" ref="A581:A644" si="72">A580+1/12</f>
        <v>48.166666666666941</v>
      </c>
      <c r="B581" s="1">
        <v>60327</v>
      </c>
      <c r="C581" s="2">
        <v>1345.6614564832294</v>
      </c>
      <c r="D581" s="2">
        <f t="shared" ref="D581:D644" si="73">C581/C580-1</f>
        <v>4.4084794932555127E-3</v>
      </c>
      <c r="E581" s="5">
        <f t="shared" si="69"/>
        <v>3.5107106087494566E-2</v>
      </c>
      <c r="F581" s="5">
        <f t="shared" ref="F581:F644" si="74">(C581/$C$3)^(1/A581)-1</f>
        <v>3.4270186324075969E-2</v>
      </c>
      <c r="G581" s="1">
        <v>60327</v>
      </c>
      <c r="H581" s="2">
        <v>1351.9432544799577</v>
      </c>
      <c r="I581" s="5">
        <f t="shared" si="70"/>
        <v>3.5207106044994108E-2</v>
      </c>
      <c r="J581" s="5">
        <f t="shared" ref="J581:J644" si="75">(H581/$H$3)^(1/A581)-1</f>
        <v>3.4370196650816975E-2</v>
      </c>
      <c r="K581" s="7">
        <f t="shared" ref="K581:K644" si="76">J581-F581</f>
        <v>1.0001032674100685E-4</v>
      </c>
      <c r="M581" s="7">
        <f t="shared" si="71"/>
        <v>9.9999957499541381E-5</v>
      </c>
    </row>
    <row r="582" spans="1:13" x14ac:dyDescent="0.25">
      <c r="A582">
        <f t="shared" si="72"/>
        <v>48.250000000000277</v>
      </c>
      <c r="B582" s="1">
        <v>60358</v>
      </c>
      <c r="C582" s="2">
        <v>1355.1973217316897</v>
      </c>
      <c r="D582" s="2">
        <f t="shared" si="73"/>
        <v>7.0863776342242613E-3</v>
      </c>
      <c r="E582" s="5">
        <f t="shared" si="69"/>
        <v>3.5110440930372855E-2</v>
      </c>
      <c r="F582" s="5">
        <f t="shared" si="74"/>
        <v>3.436136439116666E-2</v>
      </c>
      <c r="G582" s="1">
        <v>60358</v>
      </c>
      <c r="H582" s="2">
        <v>1361.5345952917939</v>
      </c>
      <c r="I582" s="5">
        <f t="shared" si="70"/>
        <v>3.5210440887727179E-2</v>
      </c>
      <c r="J582" s="5">
        <f t="shared" si="75"/>
        <v>3.4461383371380716E-2</v>
      </c>
      <c r="K582" s="7">
        <f t="shared" si="76"/>
        <v>1.0001898021405609E-4</v>
      </c>
      <c r="M582" s="7">
        <f t="shared" si="71"/>
        <v>9.9999957354324209E-5</v>
      </c>
    </row>
    <row r="583" spans="1:13" x14ac:dyDescent="0.25">
      <c r="A583">
        <f t="shared" si="72"/>
        <v>48.333333333333613</v>
      </c>
      <c r="B583" s="1">
        <v>60388</v>
      </c>
      <c r="C583" s="2">
        <v>1360.1233468378871</v>
      </c>
      <c r="D583" s="2">
        <f t="shared" si="73"/>
        <v>3.6349135489013307E-3</v>
      </c>
      <c r="E583" s="5">
        <f t="shared" si="69"/>
        <v>3.5113775783995216E-2</v>
      </c>
      <c r="F583" s="5">
        <f t="shared" si="74"/>
        <v>3.437876264108386E-2</v>
      </c>
      <c r="G583" s="1">
        <v>60388</v>
      </c>
      <c r="H583" s="2">
        <v>1366.4946561386193</v>
      </c>
      <c r="I583" s="5">
        <f t="shared" si="70"/>
        <v>3.5213775741203213E-2</v>
      </c>
      <c r="J583" s="5">
        <f t="shared" si="75"/>
        <v>3.4478783141076441E-2</v>
      </c>
      <c r="K583" s="7">
        <f t="shared" si="76"/>
        <v>1.0002049999258134E-4</v>
      </c>
      <c r="M583" s="7">
        <f t="shared" si="71"/>
        <v>9.9999957207996815E-5</v>
      </c>
    </row>
    <row r="584" spans="1:13" x14ac:dyDescent="0.25">
      <c r="A584">
        <f t="shared" si="72"/>
        <v>48.416666666666949</v>
      </c>
      <c r="B584" s="1">
        <v>60419</v>
      </c>
      <c r="C584" s="2">
        <v>1362.5040422115712</v>
      </c>
      <c r="D584" s="2">
        <f t="shared" si="73"/>
        <v>1.7503525538467013E-3</v>
      </c>
      <c r="E584" s="5">
        <f t="shared" si="69"/>
        <v>3.5117110648361649E-2</v>
      </c>
      <c r="F584" s="5">
        <f t="shared" si="74"/>
        <v>3.4355947546013788E-2</v>
      </c>
      <c r="G584" s="1">
        <v>60419</v>
      </c>
      <c r="H584" s="2">
        <v>1368.8975231920203</v>
      </c>
      <c r="I584" s="5">
        <f t="shared" si="70"/>
        <v>3.5217110605422208E-2</v>
      </c>
      <c r="J584" s="5">
        <f t="shared" si="75"/>
        <v>3.4455965677867351E-2</v>
      </c>
      <c r="K584" s="7">
        <f t="shared" si="76"/>
        <v>1.0001813185356312E-4</v>
      </c>
      <c r="M584" s="7">
        <f t="shared" si="71"/>
        <v>9.9999957060559197E-5</v>
      </c>
    </row>
    <row r="585" spans="1:13" x14ac:dyDescent="0.25">
      <c r="A585">
        <f t="shared" si="72"/>
        <v>48.500000000000284</v>
      </c>
      <c r="B585" s="1">
        <v>60449</v>
      </c>
      <c r="C585" s="2">
        <v>1361.3006053463121</v>
      </c>
      <c r="D585" s="2">
        <f t="shared" si="73"/>
        <v>-8.8325379446640984E-4</v>
      </c>
      <c r="E585" s="5">
        <f t="shared" si="69"/>
        <v>3.5120445523472155E-2</v>
      </c>
      <c r="F585" s="5">
        <f t="shared" si="74"/>
        <v>3.4277071690003602E-2</v>
      </c>
      <c r="G585" s="1">
        <v>60449</v>
      </c>
      <c r="H585" s="2">
        <v>1367.6994492581262</v>
      </c>
      <c r="I585" s="5">
        <f t="shared" si="70"/>
        <v>3.5220445480384166E-2</v>
      </c>
      <c r="J585" s="5">
        <f t="shared" si="75"/>
        <v>3.4377082033436812E-2</v>
      </c>
      <c r="K585" s="7">
        <f t="shared" si="76"/>
        <v>1.0001034343321002E-4</v>
      </c>
      <c r="M585" s="7">
        <f t="shared" si="71"/>
        <v>9.9999956912011356E-5</v>
      </c>
    </row>
    <row r="586" spans="1:13" x14ac:dyDescent="0.25">
      <c r="A586">
        <f t="shared" si="72"/>
        <v>48.58333333333362</v>
      </c>
      <c r="B586" s="1">
        <v>60480</v>
      </c>
      <c r="C586" s="2">
        <v>1366.8534013615824</v>
      </c>
      <c r="D586" s="2">
        <f t="shared" si="73"/>
        <v>4.0790373510910527E-3</v>
      </c>
      <c r="E586" s="5">
        <f t="shared" si="69"/>
        <v>3.5123780409326955E-2</v>
      </c>
      <c r="F586" s="5">
        <f t="shared" si="74"/>
        <v>3.430394228484146E-2</v>
      </c>
      <c r="G586" s="1">
        <v>60480</v>
      </c>
      <c r="H586" s="2">
        <v>1373.2894013936022</v>
      </c>
      <c r="I586" s="5">
        <f t="shared" si="70"/>
        <v>3.5223780366089308E-2</v>
      </c>
      <c r="J586" s="5">
        <f t="shared" si="75"/>
        <v>3.4403955065663849E-2</v>
      </c>
      <c r="K586" s="7">
        <f t="shared" si="76"/>
        <v>1.000127808223894E-4</v>
      </c>
      <c r="M586" s="7">
        <f t="shared" si="71"/>
        <v>9.9999956762353293E-5</v>
      </c>
    </row>
    <row r="587" spans="1:13" x14ac:dyDescent="0.25">
      <c r="A587">
        <f t="shared" si="72"/>
        <v>48.666666666666956</v>
      </c>
      <c r="B587" s="1">
        <v>60511</v>
      </c>
      <c r="C587" s="2">
        <v>1373.331550750027</v>
      </c>
      <c r="D587" s="2">
        <f t="shared" si="73"/>
        <v>4.7394617315883458E-3</v>
      </c>
      <c r="E587" s="5">
        <f t="shared" si="69"/>
        <v>3.5127115305925605E-2</v>
      </c>
      <c r="F587" s="5">
        <f t="shared" si="74"/>
        <v>3.4344696273273856E-2</v>
      </c>
      <c r="G587" s="1">
        <v>60511</v>
      </c>
      <c r="H587" s="2">
        <v>1379.8091614389389</v>
      </c>
      <c r="I587" s="5">
        <f t="shared" si="70"/>
        <v>3.5227115262537412E-2</v>
      </c>
      <c r="J587" s="5">
        <f t="shared" si="75"/>
        <v>3.4444712834490465E-2</v>
      </c>
      <c r="K587" s="7">
        <f t="shared" si="76"/>
        <v>1.0001656121660929E-4</v>
      </c>
      <c r="M587" s="7">
        <f t="shared" si="71"/>
        <v>9.999995661180705E-5</v>
      </c>
    </row>
    <row r="588" spans="1:13" x14ac:dyDescent="0.25">
      <c r="A588">
        <f t="shared" si="72"/>
        <v>48.750000000000291</v>
      </c>
      <c r="B588" s="1">
        <v>60541</v>
      </c>
      <c r="C588" s="2">
        <v>1375.2874466878495</v>
      </c>
      <c r="D588" s="2">
        <f t="shared" si="73"/>
        <v>1.4241979198355015E-3</v>
      </c>
      <c r="E588" s="5">
        <f t="shared" si="69"/>
        <v>3.5130450213268549E-2</v>
      </c>
      <c r="F588" s="5">
        <f t="shared" si="74"/>
        <v>3.4315187165441463E-2</v>
      </c>
      <c r="G588" s="1">
        <v>60541</v>
      </c>
      <c r="H588" s="2">
        <v>1381.7854061662606</v>
      </c>
      <c r="I588" s="5">
        <f t="shared" si="70"/>
        <v>3.52304501697287E-2</v>
      </c>
      <c r="J588" s="5">
        <f t="shared" si="75"/>
        <v>3.4415200713468153E-2</v>
      </c>
      <c r="K588" s="7">
        <f t="shared" si="76"/>
        <v>1.0001354802668949E-4</v>
      </c>
      <c r="M588" s="7">
        <f t="shared" si="71"/>
        <v>9.9999956460150585E-5</v>
      </c>
    </row>
    <row r="589" spans="1:13" x14ac:dyDescent="0.25">
      <c r="A589">
        <f t="shared" si="72"/>
        <v>48.833333333333627</v>
      </c>
      <c r="B589" s="1">
        <v>60572</v>
      </c>
      <c r="C589" s="2">
        <v>1377.6444827847395</v>
      </c>
      <c r="D589" s="2">
        <f t="shared" si="73"/>
        <v>1.7138497865056834E-3</v>
      </c>
      <c r="E589" s="5">
        <f t="shared" si="69"/>
        <v>3.5133785131355566E-2</v>
      </c>
      <c r="F589" s="5">
        <f t="shared" si="74"/>
        <v>3.4291904817968621E-2</v>
      </c>
      <c r="G589" s="1">
        <v>60572</v>
      </c>
      <c r="H589" s="2">
        <v>1384.1647213329627</v>
      </c>
      <c r="I589" s="5">
        <f t="shared" si="70"/>
        <v>3.523378508766295E-2</v>
      </c>
      <c r="J589" s="5">
        <f t="shared" si="75"/>
        <v>3.4391915955457986E-2</v>
      </c>
      <c r="K589" s="7">
        <f t="shared" si="76"/>
        <v>1.0001113748936419E-4</v>
      </c>
      <c r="M589" s="7">
        <f t="shared" si="71"/>
        <v>9.9999956307383897E-5</v>
      </c>
    </row>
    <row r="590" spans="1:13" x14ac:dyDescent="0.25">
      <c r="A590">
        <f t="shared" si="72"/>
        <v>48.916666666666963</v>
      </c>
      <c r="B590" s="1">
        <v>60602</v>
      </c>
      <c r="C590" s="2">
        <v>1383.0849000050707</v>
      </c>
      <c r="D590" s="2">
        <f t="shared" si="73"/>
        <v>3.9490719763448645E-3</v>
      </c>
      <c r="E590" s="5">
        <f t="shared" si="69"/>
        <v>3.5137120060186877E-2</v>
      </c>
      <c r="F590" s="5">
        <f t="shared" si="74"/>
        <v>3.4315830355599042E-2</v>
      </c>
      <c r="G590" s="1">
        <v>60602</v>
      </c>
      <c r="H590" s="2">
        <v>1389.6420740807296</v>
      </c>
      <c r="I590" s="5">
        <f t="shared" si="70"/>
        <v>3.5237120016340384E-2</v>
      </c>
      <c r="J590" s="5">
        <f t="shared" si="75"/>
        <v>3.4415843647872757E-2</v>
      </c>
      <c r="K590" s="7">
        <f t="shared" si="76"/>
        <v>1.0001329227371514E-4</v>
      </c>
      <c r="M590" s="7">
        <f t="shared" si="71"/>
        <v>9.9999956153506986E-5</v>
      </c>
    </row>
    <row r="591" spans="1:13" x14ac:dyDescent="0.25">
      <c r="A591">
        <f t="shared" si="72"/>
        <v>49.000000000000298</v>
      </c>
      <c r="B591" s="1">
        <v>60633</v>
      </c>
      <c r="C591" s="2">
        <v>1378.0822079005823</v>
      </c>
      <c r="D591" s="2">
        <f t="shared" si="73"/>
        <v>-3.617053518891078E-3</v>
      </c>
      <c r="E591" s="5">
        <f t="shared" si="69"/>
        <v>3.5140454999765147E-2</v>
      </c>
      <c r="F591" s="5">
        <f t="shared" si="74"/>
        <v>3.4179999999999877E-2</v>
      </c>
      <c r="G591" s="1">
        <v>60633</v>
      </c>
      <c r="H591" s="2">
        <v>1384.6268105898462</v>
      </c>
      <c r="I591" s="5">
        <f t="shared" si="70"/>
        <v>3.5240454955762335E-2</v>
      </c>
      <c r="J591" s="5">
        <f t="shared" si="75"/>
        <v>3.4279999999999866E-2</v>
      </c>
      <c r="K591" s="7">
        <f t="shared" si="76"/>
        <v>9.9999999999988987E-5</v>
      </c>
      <c r="M591" s="7">
        <f t="shared" si="71"/>
        <v>9.9999955997187584E-5</v>
      </c>
    </row>
    <row r="592" spans="1:13" x14ac:dyDescent="0.25">
      <c r="A592">
        <f t="shared" si="72"/>
        <v>49.083333333333634</v>
      </c>
      <c r="B592" s="1">
        <v>60664</v>
      </c>
      <c r="C592" s="2">
        <v>1386.839247540416</v>
      </c>
      <c r="D592" s="2">
        <f t="shared" si="73"/>
        <v>6.354511791553108E-3</v>
      </c>
      <c r="E592" s="5">
        <f t="shared" ref="E592:E655" si="77">C592/C580-1</f>
        <v>3.5143789853358198E-2</v>
      </c>
      <c r="F592" s="5">
        <f t="shared" si="74"/>
        <v>3.4254456690457458E-2</v>
      </c>
      <c r="G592" s="1">
        <v>60664</v>
      </c>
      <c r="H592" s="2">
        <v>1393.4366547333395</v>
      </c>
      <c r="I592" s="5">
        <f t="shared" ref="I592:I655" si="78">H592/H580-1</f>
        <v>3.5243789809207948E-2</v>
      </c>
      <c r="J592" s="5">
        <f t="shared" si="75"/>
        <v>3.4354463725867923E-2</v>
      </c>
      <c r="K592" s="7">
        <f t="shared" si="76"/>
        <v>1.0000703541046541E-4</v>
      </c>
      <c r="M592" s="7">
        <f t="shared" ref="M592:M655" si="79">I592-E592</f>
        <v>9.9999955849749966E-5</v>
      </c>
    </row>
    <row r="593" spans="1:13" x14ac:dyDescent="0.25">
      <c r="A593">
        <f t="shared" si="72"/>
        <v>49.16666666666697</v>
      </c>
      <c r="B593" s="1">
        <v>60692</v>
      </c>
      <c r="C593" s="2">
        <v>1392.9575875220403</v>
      </c>
      <c r="D593" s="2">
        <f t="shared" si="73"/>
        <v>4.4117153393772313E-3</v>
      </c>
      <c r="E593" s="5">
        <f t="shared" si="77"/>
        <v>3.5147124717694878E-2</v>
      </c>
      <c r="F593" s="5">
        <f t="shared" si="74"/>
        <v>3.4288014955713209E-2</v>
      </c>
      <c r="G593" s="1">
        <v>60692</v>
      </c>
      <c r="H593" s="2">
        <v>1399.5953669219696</v>
      </c>
      <c r="I593" s="5">
        <f t="shared" si="78"/>
        <v>3.524712467339608E-2</v>
      </c>
      <c r="J593" s="5">
        <f t="shared" si="75"/>
        <v>3.4388025072408235E-2</v>
      </c>
      <c r="K593" s="7">
        <f t="shared" si="76"/>
        <v>1.0001011669502624E-4</v>
      </c>
      <c r="M593" s="7">
        <f t="shared" si="79"/>
        <v>9.9999955701202126E-5</v>
      </c>
    </row>
    <row r="594" spans="1:13" x14ac:dyDescent="0.25">
      <c r="A594">
        <f t="shared" si="72"/>
        <v>49.250000000000306</v>
      </c>
      <c r="B594" s="1">
        <v>60723</v>
      </c>
      <c r="C594" s="2">
        <v>1402.8331304294572</v>
      </c>
      <c r="D594" s="2">
        <f t="shared" si="73"/>
        <v>7.089622107579574E-3</v>
      </c>
      <c r="E594" s="5">
        <f t="shared" si="77"/>
        <v>3.5150459592775629E-2</v>
      </c>
      <c r="F594" s="5">
        <f t="shared" si="74"/>
        <v>3.43773806443326E-2</v>
      </c>
      <c r="G594" s="1">
        <v>60723</v>
      </c>
      <c r="H594" s="2">
        <v>1409.5293154667752</v>
      </c>
      <c r="I594" s="5">
        <f t="shared" si="78"/>
        <v>3.5250459548326951E-2</v>
      </c>
      <c r="J594" s="5">
        <f t="shared" si="75"/>
        <v>3.447739923912585E-2</v>
      </c>
      <c r="K594" s="7">
        <f t="shared" si="76"/>
        <v>1.000185947932497E-4</v>
      </c>
      <c r="M594" s="7">
        <f t="shared" si="79"/>
        <v>9.9999955551322017E-5</v>
      </c>
    </row>
    <row r="595" spans="1:13" x14ac:dyDescent="0.25">
      <c r="A595">
        <f t="shared" si="72"/>
        <v>49.333333333333641</v>
      </c>
      <c r="B595" s="1">
        <v>60753</v>
      </c>
      <c r="C595" s="2">
        <v>1407.9368434381718</v>
      </c>
      <c r="D595" s="2">
        <f t="shared" si="73"/>
        <v>3.6381469028694546E-3</v>
      </c>
      <c r="E595" s="5">
        <f t="shared" si="77"/>
        <v>3.5153794478600009E-2</v>
      </c>
      <c r="F595" s="5">
        <f t="shared" si="74"/>
        <v>3.4394466982473393E-2</v>
      </c>
      <c r="G595" s="1">
        <v>60753</v>
      </c>
      <c r="H595" s="2">
        <v>1414.6687778412904</v>
      </c>
      <c r="I595" s="5">
        <f t="shared" si="78"/>
        <v>3.5253794434000563E-2</v>
      </c>
      <c r="J595" s="5">
        <f t="shared" si="75"/>
        <v>3.4494487066883739E-2</v>
      </c>
      <c r="K595" s="7">
        <f t="shared" si="76"/>
        <v>1.0002008441034604E-4</v>
      </c>
      <c r="M595" s="7">
        <f t="shared" si="79"/>
        <v>9.9999955400553731E-5</v>
      </c>
    </row>
    <row r="596" spans="1:13" x14ac:dyDescent="0.25">
      <c r="A596">
        <f t="shared" si="72"/>
        <v>49.416666666666977</v>
      </c>
      <c r="B596" s="1">
        <v>60784</v>
      </c>
      <c r="C596" s="2">
        <v>1410.4057730977931</v>
      </c>
      <c r="D596" s="2">
        <f t="shared" si="73"/>
        <v>1.7535798364309851E-3</v>
      </c>
      <c r="E596" s="5">
        <f t="shared" si="77"/>
        <v>3.5157129375168239E-2</v>
      </c>
      <c r="F596" s="5">
        <f t="shared" si="74"/>
        <v>3.4372154182993997E-2</v>
      </c>
      <c r="G596" s="1">
        <v>60784</v>
      </c>
      <c r="H596" s="2">
        <v>1417.1609202072889</v>
      </c>
      <c r="I596" s="5">
        <f t="shared" si="78"/>
        <v>3.5257129330416914E-2</v>
      </c>
      <c r="J596" s="5">
        <f t="shared" si="75"/>
        <v>3.4472171947897312E-2</v>
      </c>
      <c r="K596" s="7">
        <f t="shared" si="76"/>
        <v>1.0001776490331515E-4</v>
      </c>
      <c r="M596" s="7">
        <f t="shared" si="79"/>
        <v>9.9999955248675221E-5</v>
      </c>
    </row>
    <row r="597" spans="1:13" x14ac:dyDescent="0.25">
      <c r="A597">
        <f t="shared" si="72"/>
        <v>49.500000000000313</v>
      </c>
      <c r="B597" s="1">
        <v>60814</v>
      </c>
      <c r="C597" s="2">
        <v>1409.1645666583097</v>
      </c>
      <c r="D597" s="2">
        <f t="shared" si="73"/>
        <v>-8.8003499642319571E-4</v>
      </c>
      <c r="E597" s="5">
        <f t="shared" si="77"/>
        <v>3.5160464282480097E-2</v>
      </c>
      <c r="F597" s="5">
        <f t="shared" si="74"/>
        <v>3.4294910541766033E-2</v>
      </c>
      <c r="G597" s="1">
        <v>60814</v>
      </c>
      <c r="H597" s="2">
        <v>1415.9251667764449</v>
      </c>
      <c r="I597" s="5">
        <f t="shared" si="78"/>
        <v>3.5260464237576228E-2</v>
      </c>
      <c r="J597" s="5">
        <f t="shared" si="75"/>
        <v>3.4394920676230401E-2</v>
      </c>
      <c r="K597" s="7">
        <f t="shared" si="76"/>
        <v>1.0001013446436779E-4</v>
      </c>
      <c r="M597" s="7">
        <f t="shared" si="79"/>
        <v>9.9999955096130577E-5</v>
      </c>
    </row>
    <row r="598" spans="1:13" x14ac:dyDescent="0.25">
      <c r="A598">
        <f t="shared" si="72"/>
        <v>49.583333333333648</v>
      </c>
      <c r="B598" s="1">
        <v>60845</v>
      </c>
      <c r="C598" s="2">
        <v>1414.917159903631</v>
      </c>
      <c r="D598" s="2">
        <f t="shared" si="73"/>
        <v>4.0822721358677594E-3</v>
      </c>
      <c r="E598" s="5">
        <f t="shared" si="77"/>
        <v>3.516379920053625E-2</v>
      </c>
      <c r="F598" s="5">
        <f t="shared" si="74"/>
        <v>3.4321276877781415E-2</v>
      </c>
      <c r="G598" s="1">
        <v>60845</v>
      </c>
      <c r="H598" s="2">
        <v>1421.7168030266932</v>
      </c>
      <c r="I598" s="5">
        <f t="shared" si="78"/>
        <v>3.5263799155478281E-2</v>
      </c>
      <c r="J598" s="5">
        <f t="shared" si="75"/>
        <v>3.4421289400822896E-2</v>
      </c>
      <c r="K598" s="7">
        <f t="shared" si="76"/>
        <v>1.0001252304148167E-4</v>
      </c>
      <c r="M598" s="7">
        <f t="shared" si="79"/>
        <v>9.9999954942031621E-5</v>
      </c>
    </row>
    <row r="599" spans="1:13" x14ac:dyDescent="0.25">
      <c r="A599">
        <f t="shared" si="72"/>
        <v>49.666666666666984</v>
      </c>
      <c r="B599" s="1">
        <v>60876</v>
      </c>
      <c r="C599" s="2">
        <v>1421.6276855993021</v>
      </c>
      <c r="D599" s="2">
        <f t="shared" si="73"/>
        <v>4.742698644016885E-3</v>
      </c>
      <c r="E599" s="5">
        <f t="shared" si="77"/>
        <v>3.5167134129336031E-2</v>
      </c>
      <c r="F599" s="5">
        <f t="shared" si="74"/>
        <v>3.4361248977337722E-2</v>
      </c>
      <c r="G599" s="1">
        <v>60876</v>
      </c>
      <c r="H599" s="2">
        <v>1428.4710761459073</v>
      </c>
      <c r="I599" s="5">
        <f t="shared" si="78"/>
        <v>3.5267134084123075E-2</v>
      </c>
      <c r="J599" s="5">
        <f t="shared" si="75"/>
        <v>3.4461265205079972E-2</v>
      </c>
      <c r="K599" s="7">
        <f t="shared" si="76"/>
        <v>1.0001622774225005E-4</v>
      </c>
      <c r="M599" s="7">
        <f t="shared" si="79"/>
        <v>9.9999954787044487E-5</v>
      </c>
    </row>
    <row r="600" spans="1:13" x14ac:dyDescent="0.25">
      <c r="A600">
        <f t="shared" si="72"/>
        <v>49.75000000000032</v>
      </c>
      <c r="B600" s="1">
        <v>60906</v>
      </c>
      <c r="C600" s="2">
        <v>1423.6569512924034</v>
      </c>
      <c r="D600" s="2">
        <f t="shared" si="73"/>
        <v>1.427424151665857E-3</v>
      </c>
      <c r="E600" s="5">
        <f t="shared" si="77"/>
        <v>3.5170469068879884E-2</v>
      </c>
      <c r="F600" s="5">
        <f t="shared" si="74"/>
        <v>3.4332371800241068E-2</v>
      </c>
      <c r="G600" s="1">
        <v>60906</v>
      </c>
      <c r="H600" s="2">
        <v>1430.521625531587</v>
      </c>
      <c r="I600" s="5">
        <f t="shared" si="78"/>
        <v>3.5270469023510831E-2</v>
      </c>
      <c r="J600" s="5">
        <f t="shared" si="75"/>
        <v>3.4432385075927607E-2</v>
      </c>
      <c r="K600" s="7">
        <f t="shared" si="76"/>
        <v>1.0001327568653906E-4</v>
      </c>
      <c r="M600" s="7">
        <f t="shared" si="79"/>
        <v>9.999995463094713E-5</v>
      </c>
    </row>
    <row r="601" spans="1:13" x14ac:dyDescent="0.25">
      <c r="A601">
        <f t="shared" si="72"/>
        <v>49.833333333333655</v>
      </c>
      <c r="B601" s="1">
        <v>60937</v>
      </c>
      <c r="C601" s="2">
        <v>1426.1014798302976</v>
      </c>
      <c r="D601" s="2">
        <f t="shared" si="73"/>
        <v>1.7170769514911477E-3</v>
      </c>
      <c r="E601" s="5">
        <f t="shared" si="77"/>
        <v>3.5173804019167809E-2</v>
      </c>
      <c r="F601" s="5">
        <f t="shared" si="74"/>
        <v>3.4309594402713417E-2</v>
      </c>
      <c r="G601" s="1">
        <v>60937</v>
      </c>
      <c r="H601" s="2">
        <v>1432.9894763804919</v>
      </c>
      <c r="I601" s="5">
        <f t="shared" si="78"/>
        <v>3.5273803973641549E-2</v>
      </c>
      <c r="J601" s="5">
        <f t="shared" si="75"/>
        <v>3.440960531669579E-2</v>
      </c>
      <c r="K601" s="7">
        <f t="shared" si="76"/>
        <v>1.0001091398237349E-4</v>
      </c>
      <c r="M601" s="7">
        <f t="shared" si="79"/>
        <v>9.999995447373955E-5</v>
      </c>
    </row>
    <row r="602" spans="1:13" x14ac:dyDescent="0.25">
      <c r="A602">
        <f t="shared" si="72"/>
        <v>49.916666666666991</v>
      </c>
      <c r="B602" s="1">
        <v>60967</v>
      </c>
      <c r="C602" s="2">
        <v>1431.7378697539646</v>
      </c>
      <c r="D602" s="2">
        <f t="shared" si="73"/>
        <v>3.9523063424193872E-3</v>
      </c>
      <c r="E602" s="5">
        <f t="shared" si="77"/>
        <v>3.5177138980199585E-2</v>
      </c>
      <c r="F602" s="5">
        <f t="shared" si="74"/>
        <v>3.4333078249730642E-2</v>
      </c>
      <c r="G602" s="1">
        <v>60967</v>
      </c>
      <c r="H602" s="2">
        <v>1438.6646705973235</v>
      </c>
      <c r="I602" s="5">
        <f t="shared" si="78"/>
        <v>3.5277138934515229E-2</v>
      </c>
      <c r="J602" s="5">
        <f t="shared" si="75"/>
        <v>3.4433091275697603E-2</v>
      </c>
      <c r="K602" s="7">
        <f t="shared" si="76"/>
        <v>1.0001302596696071E-4</v>
      </c>
      <c r="M602" s="7">
        <f t="shared" si="79"/>
        <v>9.9999954315643791E-5</v>
      </c>
    </row>
    <row r="603" spans="1:13" x14ac:dyDescent="0.25">
      <c r="A603">
        <f t="shared" si="72"/>
        <v>50.000000000000327</v>
      </c>
      <c r="B603" s="1">
        <v>60998</v>
      </c>
      <c r="C603" s="2">
        <v>1426.563793119308</v>
      </c>
      <c r="D603" s="2">
        <f t="shared" si="73"/>
        <v>-3.6138435281771741E-3</v>
      </c>
      <c r="E603" s="5">
        <f t="shared" si="77"/>
        <v>3.5180473951974323E-2</v>
      </c>
      <c r="F603" s="5">
        <f t="shared" si="74"/>
        <v>3.4199999999999786E-2</v>
      </c>
      <c r="G603" s="1">
        <v>60998</v>
      </c>
      <c r="H603" s="2">
        <v>1433.4771006505914</v>
      </c>
      <c r="I603" s="5">
        <f t="shared" si="78"/>
        <v>3.5280473906131649E-2</v>
      </c>
      <c r="J603" s="5">
        <f t="shared" si="75"/>
        <v>3.4299999999999775E-2</v>
      </c>
      <c r="K603" s="7">
        <f t="shared" si="76"/>
        <v>9.9999999999988987E-5</v>
      </c>
      <c r="M603" s="7">
        <f t="shared" si="79"/>
        <v>9.9999954157325988E-5</v>
      </c>
    </row>
    <row r="604" spans="1:13" x14ac:dyDescent="0.25">
      <c r="A604">
        <f t="shared" si="72"/>
        <v>50.083333333333663</v>
      </c>
      <c r="B604" s="1">
        <v>61029</v>
      </c>
      <c r="C604" s="2">
        <v>1435.373971837859</v>
      </c>
      <c r="D604" s="2">
        <f t="shared" si="73"/>
        <v>6.1758042374584488E-3</v>
      </c>
      <c r="E604" s="5">
        <f t="shared" si="77"/>
        <v>3.4996647508729106E-2</v>
      </c>
      <c r="F604" s="5">
        <f t="shared" si="74"/>
        <v>3.4269270599756485E-2</v>
      </c>
      <c r="G604" s="1">
        <v>61029</v>
      </c>
      <c r="H604" s="2">
        <v>1442.3416097879149</v>
      </c>
      <c r="I604" s="5">
        <f t="shared" si="78"/>
        <v>3.5096647478341403E-2</v>
      </c>
      <c r="J604" s="5">
        <f t="shared" si="75"/>
        <v>3.4369277494688655E-2</v>
      </c>
      <c r="K604" s="7">
        <f t="shared" si="76"/>
        <v>1.0000689493216974E-4</v>
      </c>
      <c r="M604" s="7">
        <f t="shared" si="79"/>
        <v>9.9999969612296624E-5</v>
      </c>
    </row>
    <row r="605" spans="1:13" x14ac:dyDescent="0.25">
      <c r="A605">
        <f t="shared" si="72"/>
        <v>50.166666666666998</v>
      </c>
      <c r="B605" s="1">
        <v>61057</v>
      </c>
      <c r="C605" s="2">
        <v>1441.4504162395972</v>
      </c>
      <c r="D605" s="2">
        <f t="shared" si="73"/>
        <v>4.2333527853775088E-3</v>
      </c>
      <c r="E605" s="5">
        <f t="shared" si="77"/>
        <v>3.4812853709222935E-2</v>
      </c>
      <c r="F605" s="5">
        <f t="shared" si="74"/>
        <v>3.4298474257167033E-2</v>
      </c>
      <c r="G605" s="1">
        <v>61057</v>
      </c>
      <c r="H605" s="2">
        <v>1448.4592351941021</v>
      </c>
      <c r="I605" s="5">
        <f t="shared" si="78"/>
        <v>3.4912853691131618E-2</v>
      </c>
      <c r="J605" s="5">
        <f t="shared" si="75"/>
        <v>3.4398484172191601E-2</v>
      </c>
      <c r="K605" s="7">
        <f t="shared" si="76"/>
        <v>1.0000991502456813E-4</v>
      </c>
      <c r="M605" s="7">
        <f t="shared" si="79"/>
        <v>9.9999981908682756E-5</v>
      </c>
    </row>
    <row r="606" spans="1:13" x14ac:dyDescent="0.25">
      <c r="A606">
        <f t="shared" si="72"/>
        <v>50.250000000000334</v>
      </c>
      <c r="B606" s="1">
        <v>61088</v>
      </c>
      <c r="C606" s="2">
        <v>1451.4119687320208</v>
      </c>
      <c r="D606" s="2">
        <f t="shared" si="73"/>
        <v>6.9107840132378584E-3</v>
      </c>
      <c r="E606" s="5">
        <f t="shared" si="77"/>
        <v>3.4629092547658669E-2</v>
      </c>
      <c r="F606" s="5">
        <f t="shared" si="74"/>
        <v>3.4382389239179467E-2</v>
      </c>
      <c r="G606" s="1">
        <v>61088</v>
      </c>
      <c r="H606" s="2">
        <v>1458.4809894996406</v>
      </c>
      <c r="I606" s="5">
        <f t="shared" si="78"/>
        <v>3.4729092538706707E-2</v>
      </c>
      <c r="J606" s="5">
        <f t="shared" si="75"/>
        <v>3.4482407463894749E-2</v>
      </c>
      <c r="K606" s="7">
        <f t="shared" si="76"/>
        <v>1.0001822471528143E-4</v>
      </c>
      <c r="M606" s="7">
        <f t="shared" si="79"/>
        <v>9.9999991048038694E-5</v>
      </c>
    </row>
    <row r="607" spans="1:13" x14ac:dyDescent="0.25">
      <c r="A607">
        <f t="shared" si="72"/>
        <v>50.33333333333367</v>
      </c>
      <c r="B607" s="1">
        <v>61118</v>
      </c>
      <c r="C607" s="2">
        <v>1456.4337405250931</v>
      </c>
      <c r="D607" s="2">
        <f t="shared" si="73"/>
        <v>3.4599217184763109E-3</v>
      </c>
      <c r="E607" s="5">
        <f t="shared" si="77"/>
        <v>3.4445364018241165E-2</v>
      </c>
      <c r="F607" s="5">
        <f t="shared" si="74"/>
        <v>3.4395478157476678E-2</v>
      </c>
      <c r="G607" s="1">
        <v>61118</v>
      </c>
      <c r="H607" s="2">
        <v>1463.5390257328572</v>
      </c>
      <c r="I607" s="5">
        <f t="shared" si="78"/>
        <v>3.4545364015271529E-2</v>
      </c>
      <c r="J607" s="5">
        <f t="shared" si="75"/>
        <v>3.4495497842821576E-2</v>
      </c>
      <c r="K607" s="7">
        <f t="shared" si="76"/>
        <v>1.0001968534489869E-4</v>
      </c>
      <c r="M607" s="7">
        <f t="shared" si="79"/>
        <v>9.999999703036444E-5</v>
      </c>
    </row>
    <row r="608" spans="1:13" x14ac:dyDescent="0.25">
      <c r="A608">
        <f t="shared" si="72"/>
        <v>50.416666666667005</v>
      </c>
      <c r="B608" s="1">
        <v>61149</v>
      </c>
      <c r="C608" s="2">
        <v>1458.7286276033965</v>
      </c>
      <c r="D608" s="2">
        <f t="shared" si="73"/>
        <v>1.5756893118090698E-3</v>
      </c>
      <c r="E608" s="5">
        <f t="shared" si="77"/>
        <v>3.4261668115175059E-2</v>
      </c>
      <c r="F608" s="5">
        <f t="shared" si="74"/>
        <v>3.4369962609070992E-2</v>
      </c>
      <c r="G608" s="1">
        <v>61149</v>
      </c>
      <c r="H608" s="2">
        <v>1465.8569334130461</v>
      </c>
      <c r="I608" s="5">
        <f t="shared" si="78"/>
        <v>3.4361668115032717E-2</v>
      </c>
      <c r="J608" s="5">
        <f t="shared" si="75"/>
        <v>3.4469980021583968E-2</v>
      </c>
      <c r="K608" s="7">
        <f t="shared" si="76"/>
        <v>1.0001741251297602E-4</v>
      </c>
      <c r="M608" s="7">
        <f t="shared" si="79"/>
        <v>9.9999999857658395E-5</v>
      </c>
    </row>
    <row r="609" spans="1:13" x14ac:dyDescent="0.25">
      <c r="A609">
        <f t="shared" si="72"/>
        <v>50.500000000000341</v>
      </c>
      <c r="B609" s="1">
        <v>61179</v>
      </c>
      <c r="C609" s="2">
        <v>1457.1860835709142</v>
      </c>
      <c r="D609" s="2">
        <f t="shared" si="73"/>
        <v>-1.0574578460261774E-3</v>
      </c>
      <c r="E609" s="5">
        <f t="shared" si="77"/>
        <v>3.4078004832666764E-2</v>
      </c>
      <c r="F609" s="5">
        <f t="shared" si="74"/>
        <v>3.4290614937689812E-2</v>
      </c>
      <c r="G609" s="1">
        <v>61179</v>
      </c>
      <c r="H609" s="2">
        <v>1464.3186639685605</v>
      </c>
      <c r="I609" s="5">
        <f t="shared" si="78"/>
        <v>3.4178004832197573E-2</v>
      </c>
      <c r="J609" s="5">
        <f t="shared" si="75"/>
        <v>3.4390624871463826E-2</v>
      </c>
      <c r="K609" s="7">
        <f t="shared" si="76"/>
        <v>1.0000993377401457E-4</v>
      </c>
      <c r="M609" s="7">
        <f t="shared" si="79"/>
        <v>9.9999999530808736E-5</v>
      </c>
    </row>
    <row r="610" spans="1:13" x14ac:dyDescent="0.25">
      <c r="A610">
        <f t="shared" si="72"/>
        <v>50.583333333333677</v>
      </c>
      <c r="B610" s="1">
        <v>61210</v>
      </c>
      <c r="C610" s="2">
        <v>1462.8748915337756</v>
      </c>
      <c r="D610" s="2">
        <f t="shared" si="73"/>
        <v>3.9039680841039814E-3</v>
      </c>
      <c r="E610" s="5">
        <f t="shared" si="77"/>
        <v>3.3894374164923358E-2</v>
      </c>
      <c r="F610" s="5">
        <f t="shared" si="74"/>
        <v>3.4312835577734901E-2</v>
      </c>
      <c r="G610" s="1">
        <v>61210</v>
      </c>
      <c r="H610" s="2">
        <v>1470.0471759797269</v>
      </c>
      <c r="I610" s="5">
        <f t="shared" si="78"/>
        <v>3.3994374160974283E-2</v>
      </c>
      <c r="J610" s="5">
        <f t="shared" si="75"/>
        <v>3.4412847853191098E-2</v>
      </c>
      <c r="K610" s="7">
        <f t="shared" si="76"/>
        <v>1.0001227545619606E-4</v>
      </c>
      <c r="M610" s="7">
        <f t="shared" si="79"/>
        <v>9.9999996050925688E-5</v>
      </c>
    </row>
    <row r="611" spans="1:13" x14ac:dyDescent="0.25">
      <c r="A611">
        <f t="shared" si="72"/>
        <v>50.666666666667012</v>
      </c>
      <c r="B611" s="1">
        <v>61241</v>
      </c>
      <c r="C611" s="2">
        <v>1469.55185821485</v>
      </c>
      <c r="D611" s="2">
        <f t="shared" si="73"/>
        <v>4.5642773142915427E-3</v>
      </c>
      <c r="E611" s="5">
        <f t="shared" si="77"/>
        <v>3.3710776106153917E-2</v>
      </c>
      <c r="F611" s="5">
        <f t="shared" si="74"/>
        <v>3.4348406738246906E-2</v>
      </c>
      <c r="G611" s="1">
        <v>61241</v>
      </c>
      <c r="H611" s="2">
        <v>1476.7687918604786</v>
      </c>
      <c r="I611" s="5">
        <f t="shared" si="78"/>
        <v>3.3810776095572814E-2</v>
      </c>
      <c r="J611" s="5">
        <f t="shared" si="75"/>
        <v>3.4448422645681154E-2</v>
      </c>
      <c r="K611" s="7">
        <f t="shared" si="76"/>
        <v>1.0001590743424771E-4</v>
      </c>
      <c r="M611" s="7">
        <f t="shared" si="79"/>
        <v>9.9999989418897428E-5</v>
      </c>
    </row>
    <row r="612" spans="1:13" x14ac:dyDescent="0.25">
      <c r="A612">
        <f t="shared" si="72"/>
        <v>50.750000000000348</v>
      </c>
      <c r="B612" s="1">
        <v>61271</v>
      </c>
      <c r="C612" s="2">
        <v>1471.3881977925275</v>
      </c>
      <c r="D612" s="2">
        <f t="shared" si="73"/>
        <v>1.2495915454853179E-3</v>
      </c>
      <c r="E612" s="5">
        <f t="shared" si="77"/>
        <v>3.3527210650566852E-2</v>
      </c>
      <c r="F612" s="5">
        <f t="shared" si="74"/>
        <v>3.431650049944035E-2</v>
      </c>
      <c r="G612" s="1">
        <v>61271</v>
      </c>
      <c r="H612" s="2">
        <v>1478.6260775443986</v>
      </c>
      <c r="I612" s="5">
        <f t="shared" si="78"/>
        <v>3.3627210630203352E-2</v>
      </c>
      <c r="J612" s="5">
        <f t="shared" si="75"/>
        <v>3.4416513513521263E-2</v>
      </c>
      <c r="K612" s="7">
        <f t="shared" si="76"/>
        <v>1.0001301408091301E-4</v>
      </c>
      <c r="M612" s="7">
        <f t="shared" si="79"/>
        <v>9.9999979636500314E-5</v>
      </c>
    </row>
    <row r="613" spans="1:13" x14ac:dyDescent="0.25">
      <c r="A613">
        <f t="shared" si="72"/>
        <v>50.833333333333684</v>
      </c>
      <c r="B613" s="1">
        <v>61302</v>
      </c>
      <c r="C613" s="2">
        <v>1473.6529480729848</v>
      </c>
      <c r="D613" s="2">
        <f t="shared" si="73"/>
        <v>1.5391929090196044E-3</v>
      </c>
      <c r="E613" s="5">
        <f t="shared" si="77"/>
        <v>3.3343677792372572E-2</v>
      </c>
      <c r="F613" s="5">
        <f t="shared" si="74"/>
        <v>3.4290584061069884E-2</v>
      </c>
      <c r="G613" s="1">
        <v>61302</v>
      </c>
      <c r="H613" s="2">
        <v>1480.9139146607099</v>
      </c>
      <c r="I613" s="5">
        <f t="shared" si="78"/>
        <v>3.3443677759077195E-2</v>
      </c>
      <c r="J613" s="5">
        <f t="shared" si="75"/>
        <v>3.4390594760340676E-2</v>
      </c>
      <c r="K613" s="7">
        <f t="shared" si="76"/>
        <v>1.0001069927079165E-4</v>
      </c>
      <c r="M613" s="7">
        <f t="shared" si="79"/>
        <v>9.9999966704622523E-5</v>
      </c>
    </row>
    <row r="614" spans="1:13" x14ac:dyDescent="0.25">
      <c r="A614">
        <f t="shared" si="72"/>
        <v>50.91666666666702</v>
      </c>
      <c r="B614" s="1">
        <v>61332</v>
      </c>
      <c r="C614" s="2">
        <v>1479.2145516853925</v>
      </c>
      <c r="D614" s="2">
        <f t="shared" si="73"/>
        <v>3.7740253698677062E-3</v>
      </c>
      <c r="E614" s="5">
        <f t="shared" si="77"/>
        <v>3.3160177525783041E-2</v>
      </c>
      <c r="F614" s="5">
        <f t="shared" si="74"/>
        <v>3.4310029742348869E-2</v>
      </c>
      <c r="G614" s="1">
        <v>61332</v>
      </c>
      <c r="H614" s="2">
        <v>1486.5149128704272</v>
      </c>
      <c r="I614" s="5">
        <f t="shared" si="78"/>
        <v>3.3260177476407193E-2</v>
      </c>
      <c r="J614" s="5">
        <f t="shared" si="75"/>
        <v>3.4410042512471151E-2</v>
      </c>
      <c r="K614" s="7">
        <f t="shared" si="76"/>
        <v>1.0001277012228194E-4</v>
      </c>
      <c r="M614" s="7">
        <f t="shared" si="79"/>
        <v>9.9999950624152234E-5</v>
      </c>
    </row>
    <row r="615" spans="1:13" x14ac:dyDescent="0.25">
      <c r="A615">
        <f t="shared" si="72"/>
        <v>51.000000000000355</v>
      </c>
      <c r="B615" s="1">
        <v>61363</v>
      </c>
      <c r="C615" s="2">
        <v>1473.6071734003999</v>
      </c>
      <c r="D615" s="2">
        <f t="shared" si="73"/>
        <v>-3.7907809104524848E-3</v>
      </c>
      <c r="E615" s="5">
        <f t="shared" si="77"/>
        <v>3.2976709845009777E-2</v>
      </c>
      <c r="F615" s="5">
        <f t="shared" si="74"/>
        <v>3.4175999999999762E-2</v>
      </c>
      <c r="G615" s="1">
        <v>61363</v>
      </c>
      <c r="H615" s="2">
        <v>1480.8918066799363</v>
      </c>
      <c r="I615" s="5">
        <f t="shared" si="78"/>
        <v>3.3076709776406865E-2</v>
      </c>
      <c r="J615" s="5">
        <f t="shared" si="75"/>
        <v>3.4275999999999751E-2</v>
      </c>
      <c r="K615" s="7">
        <f t="shared" si="76"/>
        <v>9.9999999999988987E-5</v>
      </c>
      <c r="M615" s="7">
        <f t="shared" si="79"/>
        <v>9.9999931397087849E-5</v>
      </c>
    </row>
    <row r="616" spans="1:13" x14ac:dyDescent="0.25">
      <c r="A616">
        <f t="shared" si="72"/>
        <v>51.083333333333691</v>
      </c>
      <c r="B616" s="1">
        <v>61394</v>
      </c>
      <c r="C616" s="2">
        <v>1482.7021446058848</v>
      </c>
      <c r="D616" s="2">
        <f t="shared" si="73"/>
        <v>6.171910241518308E-3</v>
      </c>
      <c r="E616" s="5">
        <f t="shared" si="77"/>
        <v>3.2972712127019133E-2</v>
      </c>
      <c r="F616" s="5">
        <f t="shared" si="74"/>
        <v>3.4243873746790054E-2</v>
      </c>
      <c r="G616" s="1">
        <v>61394</v>
      </c>
      <c r="H616" s="2">
        <v>1490.0437585379843</v>
      </c>
      <c r="I616" s="5">
        <f t="shared" si="78"/>
        <v>3.3072712058195286E-2</v>
      </c>
      <c r="J616" s="5">
        <f t="shared" si="75"/>
        <v>3.4343880506743529E-2</v>
      </c>
      <c r="K616" s="7">
        <f t="shared" si="76"/>
        <v>1.0000675995347486E-4</v>
      </c>
      <c r="M616" s="7">
        <f t="shared" si="79"/>
        <v>9.9999931176153467E-5</v>
      </c>
    </row>
    <row r="617" spans="1:13" x14ac:dyDescent="0.25">
      <c r="A617">
        <f t="shared" si="72"/>
        <v>51.166666666667027</v>
      </c>
      <c r="B617" s="1">
        <v>61423</v>
      </c>
      <c r="C617" s="2">
        <v>1488.9731833696774</v>
      </c>
      <c r="D617" s="2">
        <f t="shared" si="73"/>
        <v>4.2294663069091243E-3</v>
      </c>
      <c r="E617" s="5">
        <f t="shared" si="77"/>
        <v>3.2968714424500112E-2</v>
      </c>
      <c r="F617" s="5">
        <f t="shared" si="74"/>
        <v>3.4272469071822576E-2</v>
      </c>
      <c r="G617" s="1">
        <v>61423</v>
      </c>
      <c r="H617" s="2">
        <v>1496.3579198982545</v>
      </c>
      <c r="I617" s="5">
        <f t="shared" si="78"/>
        <v>3.3068714355453555E-2</v>
      </c>
      <c r="J617" s="5">
        <f t="shared" si="75"/>
        <v>3.4372478793058825E-2</v>
      </c>
      <c r="K617" s="7">
        <f t="shared" si="76"/>
        <v>1.000097212362494E-4</v>
      </c>
      <c r="M617" s="7">
        <f t="shared" si="79"/>
        <v>9.9999930953442728E-5</v>
      </c>
    </row>
    <row r="618" spans="1:13" x14ac:dyDescent="0.25">
      <c r="A618">
        <f t="shared" si="72"/>
        <v>51.250000000000362</v>
      </c>
      <c r="B618" s="1">
        <v>61454</v>
      </c>
      <c r="C618" s="2">
        <v>1499.2573531506202</v>
      </c>
      <c r="D618" s="2">
        <f t="shared" si="73"/>
        <v>6.9068871728561465E-3</v>
      </c>
      <c r="E618" s="5">
        <f t="shared" si="77"/>
        <v>3.2964716737452493E-2</v>
      </c>
      <c r="F618" s="5">
        <f t="shared" si="74"/>
        <v>3.4354708733739914E-2</v>
      </c>
      <c r="G618" s="1">
        <v>61454</v>
      </c>
      <c r="H618" s="2">
        <v>1506.7052501833759</v>
      </c>
      <c r="I618" s="5">
        <f t="shared" si="78"/>
        <v>3.3064716668181893E-2</v>
      </c>
      <c r="J618" s="5">
        <f t="shared" si="75"/>
        <v>3.4454726602819452E-2</v>
      </c>
      <c r="K618" s="7">
        <f t="shared" si="76"/>
        <v>1.0001786907953836E-4</v>
      </c>
      <c r="M618" s="7">
        <f t="shared" si="79"/>
        <v>9.9999930729399722E-5</v>
      </c>
    </row>
    <row r="619" spans="1:13" x14ac:dyDescent="0.25">
      <c r="A619">
        <f t="shared" si="72"/>
        <v>51.333333333333698</v>
      </c>
      <c r="B619" s="1">
        <v>61484</v>
      </c>
      <c r="C619" s="2">
        <v>1504.438843884604</v>
      </c>
      <c r="D619" s="2">
        <f t="shared" si="73"/>
        <v>3.4560382332593509E-3</v>
      </c>
      <c r="E619" s="5">
        <f t="shared" si="77"/>
        <v>3.2960719065876276E-2</v>
      </c>
      <c r="F619" s="5">
        <f t="shared" si="74"/>
        <v>3.4367509281297171E-2</v>
      </c>
      <c r="G619" s="1">
        <v>61484</v>
      </c>
      <c r="H619" s="2">
        <v>1511.9246782028474</v>
      </c>
      <c r="I619" s="5">
        <f t="shared" si="78"/>
        <v>3.3060718996380301E-2</v>
      </c>
      <c r="J619" s="5">
        <f t="shared" si="75"/>
        <v>3.4467528583124407E-2</v>
      </c>
      <c r="K619" s="7">
        <f t="shared" si="76"/>
        <v>1.0001930182723662E-4</v>
      </c>
      <c r="M619" s="7">
        <f t="shared" si="79"/>
        <v>9.9999930504024448E-5</v>
      </c>
    </row>
    <row r="620" spans="1:13" x14ac:dyDescent="0.25">
      <c r="A620">
        <f t="shared" si="72"/>
        <v>51.416666666667034</v>
      </c>
      <c r="B620" s="1">
        <v>61515</v>
      </c>
      <c r="C620" s="2">
        <v>1506.8035405957801</v>
      </c>
      <c r="D620" s="2">
        <f t="shared" si="73"/>
        <v>1.5718131187507645E-3</v>
      </c>
      <c r="E620" s="5">
        <f t="shared" si="77"/>
        <v>3.2956721409771683E-2</v>
      </c>
      <c r="F620" s="5">
        <f t="shared" si="74"/>
        <v>3.4342458128287179E-2</v>
      </c>
      <c r="G620" s="1">
        <v>61515</v>
      </c>
      <c r="H620" s="2">
        <v>1514.3133575852594</v>
      </c>
      <c r="I620" s="5">
        <f t="shared" si="78"/>
        <v>3.3056721340048556E-2</v>
      </c>
      <c r="J620" s="5">
        <f t="shared" si="75"/>
        <v>3.4442475202116185E-2</v>
      </c>
      <c r="K620" s="7">
        <f t="shared" si="76"/>
        <v>1.0001707382900626E-4</v>
      </c>
      <c r="M620" s="7">
        <f t="shared" si="79"/>
        <v>9.9999930276872817E-5</v>
      </c>
    </row>
    <row r="621" spans="1:13" x14ac:dyDescent="0.25">
      <c r="A621">
        <f t="shared" si="72"/>
        <v>51.500000000000369</v>
      </c>
      <c r="B621" s="1">
        <v>61545</v>
      </c>
      <c r="C621" s="2">
        <v>1505.2043340630587</v>
      </c>
      <c r="D621" s="2">
        <f t="shared" si="73"/>
        <v>-1.0613238485549514E-3</v>
      </c>
      <c r="E621" s="5">
        <f t="shared" si="77"/>
        <v>3.2952723769138048E-2</v>
      </c>
      <c r="F621" s="5">
        <f t="shared" si="74"/>
        <v>3.4264619978536359E-2</v>
      </c>
      <c r="G621" s="1">
        <v>61545</v>
      </c>
      <c r="H621" s="2">
        <v>1512.7183841762755</v>
      </c>
      <c r="I621" s="5">
        <f t="shared" si="78"/>
        <v>3.3052723699186659E-2</v>
      </c>
      <c r="J621" s="5">
        <f t="shared" si="75"/>
        <v>3.4364629719412454E-2</v>
      </c>
      <c r="K621" s="7">
        <f t="shared" si="76"/>
        <v>1.0000974087609471E-4</v>
      </c>
      <c r="M621" s="7">
        <f t="shared" si="79"/>
        <v>9.9999930048610963E-5</v>
      </c>
    </row>
    <row r="622" spans="1:13" x14ac:dyDescent="0.25">
      <c r="A622">
        <f t="shared" si="72"/>
        <v>51.583333333333705</v>
      </c>
      <c r="B622" s="1">
        <v>61576</v>
      </c>
      <c r="C622" s="2">
        <v>1511.0747557178199</v>
      </c>
      <c r="D622" s="2">
        <f t="shared" si="73"/>
        <v>3.9000828803854581E-3</v>
      </c>
      <c r="E622" s="5">
        <f t="shared" si="77"/>
        <v>3.2948726143975593E-2</v>
      </c>
      <c r="F622" s="5">
        <f t="shared" si="74"/>
        <v>3.4286373691545524E-2</v>
      </c>
      <c r="G622" s="1">
        <v>61576</v>
      </c>
      <c r="H622" s="2">
        <v>1518.6303624142365</v>
      </c>
      <c r="I622" s="5">
        <f t="shared" si="78"/>
        <v>3.3048726073794832E-2</v>
      </c>
      <c r="J622" s="5">
        <f t="shared" si="75"/>
        <v>3.4386385729014091E-2</v>
      </c>
      <c r="K622" s="7">
        <f t="shared" si="76"/>
        <v>1.0001203746856646E-4</v>
      </c>
      <c r="M622" s="7">
        <f t="shared" si="79"/>
        <v>9.9999929819238886E-5</v>
      </c>
    </row>
    <row r="623" spans="1:13" x14ac:dyDescent="0.25">
      <c r="A623">
        <f t="shared" si="72"/>
        <v>51.666666666667041</v>
      </c>
      <c r="B623" s="1">
        <v>61607</v>
      </c>
      <c r="C623" s="2">
        <v>1517.9658452507913</v>
      </c>
      <c r="D623" s="2">
        <f t="shared" si="73"/>
        <v>4.5603895551136198E-3</v>
      </c>
      <c r="E623" s="5">
        <f t="shared" si="77"/>
        <v>3.2944728534284318E-2</v>
      </c>
      <c r="F623" s="5">
        <f t="shared" si="74"/>
        <v>3.4321220679239817E-2</v>
      </c>
      <c r="G623" s="1">
        <v>61607</v>
      </c>
      <c r="H623" s="2">
        <v>1525.568215591429</v>
      </c>
      <c r="I623" s="5">
        <f t="shared" si="78"/>
        <v>3.3044728463872408E-2</v>
      </c>
      <c r="J623" s="5">
        <f t="shared" si="75"/>
        <v>3.4421236278764367E-2</v>
      </c>
      <c r="K623" s="7">
        <f t="shared" si="76"/>
        <v>1.0001559952454997E-4</v>
      </c>
      <c r="M623" s="7">
        <f t="shared" si="79"/>
        <v>9.9999929588090453E-5</v>
      </c>
    </row>
    <row r="624" spans="1:13" x14ac:dyDescent="0.25">
      <c r="A624">
        <f t="shared" si="72"/>
        <v>51.750000000000377</v>
      </c>
      <c r="B624" s="1">
        <v>61637</v>
      </c>
      <c r="C624" s="2">
        <v>1519.8568005243972</v>
      </c>
      <c r="D624" s="2">
        <f t="shared" si="73"/>
        <v>1.2457166144561604E-3</v>
      </c>
      <c r="E624" s="5">
        <f t="shared" si="77"/>
        <v>3.2940730940064222E-2</v>
      </c>
      <c r="F624" s="5">
        <f t="shared" si="74"/>
        <v>3.4289898226207205E-2</v>
      </c>
      <c r="G624" s="1">
        <v>61637</v>
      </c>
      <c r="H624" s="2">
        <v>1527.4809638290485</v>
      </c>
      <c r="I624" s="5">
        <f t="shared" si="78"/>
        <v>3.3040730869419388E-2</v>
      </c>
      <c r="J624" s="5">
        <f t="shared" si="75"/>
        <v>3.4389910988792405E-2</v>
      </c>
      <c r="K624" s="7">
        <f t="shared" si="76"/>
        <v>1.0001276258519987E-4</v>
      </c>
      <c r="M624" s="7">
        <f t="shared" si="79"/>
        <v>9.9999929355165662E-5</v>
      </c>
    </row>
    <row r="625" spans="1:13" x14ac:dyDescent="0.25">
      <c r="A625">
        <f t="shared" si="72"/>
        <v>51.833333333333712</v>
      </c>
      <c r="B625" s="1">
        <v>61668</v>
      </c>
      <c r="C625" s="2">
        <v>1522.1902622907812</v>
      </c>
      <c r="D625" s="2">
        <f t="shared" si="73"/>
        <v>1.5353168572058706E-3</v>
      </c>
      <c r="E625" s="5">
        <f t="shared" si="77"/>
        <v>3.2936733361315529E-2</v>
      </c>
      <c r="F625" s="5">
        <f t="shared" si="74"/>
        <v>3.4264447975627332E-2</v>
      </c>
      <c r="G625" s="1">
        <v>61668</v>
      </c>
      <c r="H625" s="2">
        <v>1529.8384726854515</v>
      </c>
      <c r="I625" s="5">
        <f t="shared" si="78"/>
        <v>3.3036733290436215E-2</v>
      </c>
      <c r="J625" s="5">
        <f t="shared" si="75"/>
        <v>3.436445846847036E-2</v>
      </c>
      <c r="K625" s="7">
        <f t="shared" si="76"/>
        <v>1.0001049284302788E-4</v>
      </c>
      <c r="M625" s="7">
        <f t="shared" si="79"/>
        <v>9.9999929120686559E-5</v>
      </c>
    </row>
    <row r="626" spans="1:13" x14ac:dyDescent="0.25">
      <c r="A626">
        <f t="shared" si="72"/>
        <v>51.916666666667048</v>
      </c>
      <c r="B626" s="1">
        <v>61698</v>
      </c>
      <c r="C626" s="2">
        <v>1527.92913370466</v>
      </c>
      <c r="D626" s="2">
        <f t="shared" si="73"/>
        <v>3.7701406690398009E-3</v>
      </c>
      <c r="E626" s="5">
        <f t="shared" si="77"/>
        <v>3.2932735798037571E-2</v>
      </c>
      <c r="F626" s="5">
        <f t="shared" si="74"/>
        <v>3.4283483467943965E-2</v>
      </c>
      <c r="G626" s="1">
        <v>61698</v>
      </c>
      <c r="H626" s="2">
        <v>1535.6185671414048</v>
      </c>
      <c r="I626" s="5">
        <f t="shared" si="78"/>
        <v>3.3032735726922224E-2</v>
      </c>
      <c r="J626" s="5">
        <f t="shared" si="75"/>
        <v>3.4383495992077462E-2</v>
      </c>
      <c r="K626" s="7">
        <f t="shared" si="76"/>
        <v>1.0001252413349704E-4</v>
      </c>
      <c r="M626" s="7">
        <f t="shared" si="79"/>
        <v>9.9999928884653144E-5</v>
      </c>
    </row>
    <row r="627" spans="1:13" x14ac:dyDescent="0.25">
      <c r="A627">
        <f t="shared" si="72"/>
        <v>52.000000000000384</v>
      </c>
      <c r="B627" s="1">
        <v>61729</v>
      </c>
      <c r="C627" s="2">
        <v>1522.1311982969628</v>
      </c>
      <c r="D627" s="2">
        <f t="shared" si="73"/>
        <v>-3.7946363347620693E-3</v>
      </c>
      <c r="E627" s="5">
        <f t="shared" si="77"/>
        <v>3.2928738250229905E-2</v>
      </c>
      <c r="F627" s="5">
        <f t="shared" si="74"/>
        <v>3.4151999999999738E-2</v>
      </c>
      <c r="G627" s="1">
        <v>61729</v>
      </c>
      <c r="H627" s="2">
        <v>1529.8037944340149</v>
      </c>
      <c r="I627" s="5">
        <f t="shared" si="78"/>
        <v>3.3028738178878969E-2</v>
      </c>
      <c r="J627" s="5">
        <f t="shared" si="75"/>
        <v>3.4251999999999727E-2</v>
      </c>
      <c r="K627" s="7">
        <f t="shared" si="76"/>
        <v>9.9999999999988987E-5</v>
      </c>
      <c r="M627" s="7">
        <f t="shared" si="79"/>
        <v>9.9999928649063818E-5</v>
      </c>
    </row>
    <row r="628" spans="1:13" x14ac:dyDescent="0.25">
      <c r="A628">
        <f t="shared" si="72"/>
        <v>52.083333333333719</v>
      </c>
      <c r="B628" s="1">
        <v>61760</v>
      </c>
      <c r="C628" s="2">
        <v>1531.5197280725247</v>
      </c>
      <c r="D628" s="2">
        <f t="shared" si="73"/>
        <v>6.1680161250661225E-3</v>
      </c>
      <c r="E628" s="5">
        <f t="shared" si="77"/>
        <v>3.2924740578706091E-2</v>
      </c>
      <c r="F628" s="5">
        <f t="shared" si="74"/>
        <v>3.4218530534754876E-2</v>
      </c>
      <c r="G628" s="1">
        <v>61760</v>
      </c>
      <c r="H628" s="2">
        <v>1539.2520670079705</v>
      </c>
      <c r="I628" s="5">
        <f t="shared" si="78"/>
        <v>3.3024740507130446E-2</v>
      </c>
      <c r="J628" s="5">
        <f t="shared" si="75"/>
        <v>3.4318537164912843E-2</v>
      </c>
      <c r="K628" s="7">
        <f t="shared" si="76"/>
        <v>1.0000663015796718E-4</v>
      </c>
      <c r="M628" s="7">
        <f t="shared" si="79"/>
        <v>9.9999928424354678E-5</v>
      </c>
    </row>
    <row r="629" spans="1:13" x14ac:dyDescent="0.25">
      <c r="A629">
        <f t="shared" si="72"/>
        <v>52.166666666667055</v>
      </c>
      <c r="B629" s="1">
        <v>61788</v>
      </c>
      <c r="C629" s="2">
        <v>1537.9912867581165</v>
      </c>
      <c r="D629" s="2">
        <f t="shared" si="73"/>
        <v>4.2255797081611757E-3</v>
      </c>
      <c r="E629" s="5">
        <f t="shared" si="77"/>
        <v>3.2920742922654123E-2</v>
      </c>
      <c r="F629" s="5">
        <f t="shared" si="74"/>
        <v>3.4246540766256217E-2</v>
      </c>
      <c r="G629" s="1">
        <v>61788</v>
      </c>
      <c r="H629" s="2">
        <v>1545.7687699840508</v>
      </c>
      <c r="I629" s="5">
        <f t="shared" si="78"/>
        <v>3.3020742850852214E-2</v>
      </c>
      <c r="J629" s="5">
        <f t="shared" si="75"/>
        <v>3.4346550301133982E-2</v>
      </c>
      <c r="K629" s="7">
        <f t="shared" si="76"/>
        <v>1.000095348777652E-4</v>
      </c>
      <c r="M629" s="7">
        <f t="shared" si="79"/>
        <v>9.9999928198091226E-5</v>
      </c>
    </row>
    <row r="630" spans="1:13" x14ac:dyDescent="0.25">
      <c r="A630">
        <f t="shared" si="72"/>
        <v>52.250000000000391</v>
      </c>
      <c r="B630" s="1">
        <v>61819</v>
      </c>
      <c r="C630" s="2">
        <v>1548.6080255565557</v>
      </c>
      <c r="D630" s="2">
        <f t="shared" si="73"/>
        <v>6.9029902118742381E-3</v>
      </c>
      <c r="E630" s="5">
        <f t="shared" si="77"/>
        <v>3.2916745282074E-2</v>
      </c>
      <c r="F630" s="5">
        <f t="shared" si="74"/>
        <v>3.432716912123035E-2</v>
      </c>
      <c r="G630" s="1">
        <v>61819</v>
      </c>
      <c r="H630" s="2">
        <v>1556.4517535353164</v>
      </c>
      <c r="I630" s="5">
        <f t="shared" si="78"/>
        <v>3.3016745210044274E-2</v>
      </c>
      <c r="J630" s="5">
        <f t="shared" si="75"/>
        <v>3.4427186648288144E-2</v>
      </c>
      <c r="K630" s="7">
        <f t="shared" si="76"/>
        <v>1.000175270577941E-4</v>
      </c>
      <c r="M630" s="7">
        <f t="shared" si="79"/>
        <v>9.9999927970273461E-5</v>
      </c>
    </row>
    <row r="631" spans="1:13" x14ac:dyDescent="0.25">
      <c r="A631">
        <f t="shared" si="72"/>
        <v>52.333333333333727</v>
      </c>
      <c r="B631" s="1">
        <v>61849</v>
      </c>
      <c r="C631" s="2">
        <v>1553.9540599187151</v>
      </c>
      <c r="D631" s="2">
        <f t="shared" si="73"/>
        <v>3.4521546278556414E-3</v>
      </c>
      <c r="E631" s="5">
        <f t="shared" si="77"/>
        <v>3.2912747656965724E-2</v>
      </c>
      <c r="F631" s="5">
        <f t="shared" si="74"/>
        <v>3.4339692096263974E-2</v>
      </c>
      <c r="G631" s="1">
        <v>61849</v>
      </c>
      <c r="H631" s="2">
        <v>1561.8374659714468</v>
      </c>
      <c r="I631" s="5">
        <f t="shared" si="78"/>
        <v>3.3012747584706625E-2</v>
      </c>
      <c r="J631" s="5">
        <f t="shared" si="75"/>
        <v>3.4439711029231601E-2</v>
      </c>
      <c r="K631" s="7">
        <f t="shared" si="76"/>
        <v>1.0001893296762709E-4</v>
      </c>
      <c r="M631" s="7">
        <f t="shared" si="79"/>
        <v>9.9999927740901384E-5</v>
      </c>
    </row>
    <row r="632" spans="1:13" x14ac:dyDescent="0.25">
      <c r="A632">
        <f t="shared" si="72"/>
        <v>52.416666666667062</v>
      </c>
      <c r="B632" s="1">
        <v>61880</v>
      </c>
      <c r="C632" s="2">
        <v>1556.3905616836769</v>
      </c>
      <c r="D632" s="2">
        <f t="shared" si="73"/>
        <v>1.567936805731085E-3</v>
      </c>
      <c r="E632" s="5">
        <f t="shared" si="77"/>
        <v>3.290875004732885E-2</v>
      </c>
      <c r="F632" s="5">
        <f t="shared" si="74"/>
        <v>3.4315087374970243E-2</v>
      </c>
      <c r="G632" s="1">
        <v>61880</v>
      </c>
      <c r="H632" s="2">
        <v>1564.2989485893509</v>
      </c>
      <c r="I632" s="5">
        <f t="shared" si="78"/>
        <v>3.3008749974839491E-2</v>
      </c>
      <c r="J632" s="5">
        <f t="shared" si="75"/>
        <v>3.4415104123039386E-2</v>
      </c>
      <c r="K632" s="7">
        <f t="shared" si="76"/>
        <v>1.0001674806914274E-4</v>
      </c>
      <c r="M632" s="7">
        <f t="shared" si="79"/>
        <v>9.9999927510641129E-5</v>
      </c>
    </row>
    <row r="633" spans="1:13" x14ac:dyDescent="0.25">
      <c r="A633">
        <f t="shared" si="72"/>
        <v>52.500000000000398</v>
      </c>
      <c r="B633" s="1">
        <v>61910</v>
      </c>
      <c r="C633" s="2">
        <v>1554.7327100668335</v>
      </c>
      <c r="D633" s="2">
        <f t="shared" si="73"/>
        <v>-1.0651899707293522E-3</v>
      </c>
      <c r="E633" s="5">
        <f t="shared" si="77"/>
        <v>3.2904752453164265E-2</v>
      </c>
      <c r="F633" s="5">
        <f t="shared" si="74"/>
        <v>3.4238701021453544E-2</v>
      </c>
      <c r="G633" s="1">
        <v>61910</v>
      </c>
      <c r="H633" s="2">
        <v>1562.6452798673563</v>
      </c>
      <c r="I633" s="5">
        <f t="shared" si="78"/>
        <v>3.3004752380442204E-2</v>
      </c>
      <c r="J633" s="5">
        <f t="shared" si="75"/>
        <v>3.4338710576780507E-2</v>
      </c>
      <c r="K633" s="7">
        <f t="shared" si="76"/>
        <v>1.000095553269631E-4</v>
      </c>
      <c r="M633" s="7">
        <f t="shared" si="79"/>
        <v>9.9999927277938383E-5</v>
      </c>
    </row>
    <row r="634" spans="1:13" x14ac:dyDescent="0.25">
      <c r="A634">
        <f t="shared" si="72"/>
        <v>52.583333333333734</v>
      </c>
      <c r="B634" s="1">
        <v>61941</v>
      </c>
      <c r="C634" s="2">
        <v>1560.7902558526932</v>
      </c>
      <c r="D634" s="2">
        <f t="shared" si="73"/>
        <v>3.8961975564271167E-3</v>
      </c>
      <c r="E634" s="5">
        <f t="shared" si="77"/>
        <v>3.2900754874471083E-2</v>
      </c>
      <c r="F634" s="5">
        <f t="shared" si="74"/>
        <v>3.426000544838903E-2</v>
      </c>
      <c r="G634" s="1">
        <v>61941</v>
      </c>
      <c r="H634" s="2">
        <v>1568.7463106384048</v>
      </c>
      <c r="I634" s="5">
        <f t="shared" si="78"/>
        <v>3.3000754801515209E-2</v>
      </c>
      <c r="J634" s="5">
        <f t="shared" si="75"/>
        <v>3.4360017256922282E-2</v>
      </c>
      <c r="K634" s="7">
        <f t="shared" si="76"/>
        <v>1.0001180853325131E-4</v>
      </c>
      <c r="M634" s="7">
        <f t="shared" si="79"/>
        <v>9.9999927044125414E-5</v>
      </c>
    </row>
    <row r="635" spans="1:13" x14ac:dyDescent="0.25">
      <c r="A635">
        <f t="shared" si="72"/>
        <v>52.666666666667069</v>
      </c>
      <c r="B635" s="1">
        <v>61972</v>
      </c>
      <c r="C635" s="2">
        <v>1567.9019992687722</v>
      </c>
      <c r="D635" s="2">
        <f t="shared" si="73"/>
        <v>4.5565016756166088E-3</v>
      </c>
      <c r="E635" s="5">
        <f t="shared" si="77"/>
        <v>3.2896757311249525E-2</v>
      </c>
      <c r="F635" s="5">
        <f t="shared" si="74"/>
        <v>3.4294155619066347E-2</v>
      </c>
      <c r="G635" s="1">
        <v>61972</v>
      </c>
      <c r="H635" s="2">
        <v>1575.9070196513969</v>
      </c>
      <c r="I635" s="5">
        <f t="shared" si="78"/>
        <v>3.2996757238058061E-2</v>
      </c>
      <c r="J635" s="5">
        <f t="shared" si="75"/>
        <v>3.4394170922374956E-2</v>
      </c>
      <c r="K635" s="7">
        <f t="shared" si="76"/>
        <v>1.000153033086093E-4</v>
      </c>
      <c r="M635" s="7">
        <f t="shared" si="79"/>
        <v>9.9999926808536088E-5</v>
      </c>
    </row>
    <row r="636" spans="1:13" x14ac:dyDescent="0.25">
      <c r="A636">
        <f t="shared" si="72"/>
        <v>52.750000000000405</v>
      </c>
      <c r="B636" s="1">
        <v>62002</v>
      </c>
      <c r="C636" s="2">
        <v>1569.8490851389668</v>
      </c>
      <c r="D636" s="2">
        <f t="shared" si="73"/>
        <v>1.2418415635049307E-3</v>
      </c>
      <c r="E636" s="5">
        <f t="shared" si="77"/>
        <v>3.2892759763499146E-2</v>
      </c>
      <c r="F636" s="5">
        <f t="shared" si="74"/>
        <v>3.4263394623534227E-2</v>
      </c>
      <c r="G636" s="1">
        <v>62002</v>
      </c>
      <c r="H636" s="2">
        <v>1577.8767761998186</v>
      </c>
      <c r="I636" s="5">
        <f t="shared" si="78"/>
        <v>3.2992759690071205E-2</v>
      </c>
      <c r="J636" s="5">
        <f t="shared" si="75"/>
        <v>3.4363407144159641E-2</v>
      </c>
      <c r="K636" s="7">
        <f t="shared" si="76"/>
        <v>1.0001252062541433E-4</v>
      </c>
      <c r="M636" s="7">
        <f t="shared" si="79"/>
        <v>9.9999926572058584E-5</v>
      </c>
    </row>
    <row r="637" spans="1:13" x14ac:dyDescent="0.25">
      <c r="A637">
        <f t="shared" si="72"/>
        <v>52.833333333333741</v>
      </c>
      <c r="B637" s="1">
        <v>62033</v>
      </c>
      <c r="C637" s="2">
        <v>1572.2532158979418</v>
      </c>
      <c r="D637" s="2">
        <f t="shared" si="73"/>
        <v>1.5314406854352036E-3</v>
      </c>
      <c r="E637" s="5">
        <f t="shared" si="77"/>
        <v>3.2888762231220392E-2</v>
      </c>
      <c r="F637" s="5">
        <f t="shared" si="74"/>
        <v>3.4238392755622238E-2</v>
      </c>
      <c r="G637" s="1">
        <v>62033</v>
      </c>
      <c r="H637" s="2">
        <v>1580.3059502003478</v>
      </c>
      <c r="I637" s="5">
        <f t="shared" si="78"/>
        <v>3.2988762157554197E-2</v>
      </c>
      <c r="J637" s="5">
        <f t="shared" si="75"/>
        <v>3.4338403049852584E-2</v>
      </c>
      <c r="K637" s="7">
        <f t="shared" si="76"/>
        <v>1.0001029423034602E-4</v>
      </c>
      <c r="M637" s="7">
        <f t="shared" si="79"/>
        <v>9.9999926333804723E-5</v>
      </c>
    </row>
    <row r="638" spans="1:13" x14ac:dyDescent="0.25">
      <c r="A638">
        <f t="shared" si="72"/>
        <v>52.916666666667076</v>
      </c>
      <c r="B638" s="1">
        <v>62063</v>
      </c>
      <c r="C638" s="2">
        <v>1578.1747237668349</v>
      </c>
      <c r="D638" s="2">
        <f t="shared" si="73"/>
        <v>3.7662558479876207E-3</v>
      </c>
      <c r="E638" s="5">
        <f t="shared" si="77"/>
        <v>3.2884764714413262E-2</v>
      </c>
      <c r="F638" s="5">
        <f t="shared" si="74"/>
        <v>3.4257033436592588E-2</v>
      </c>
      <c r="G638" s="1">
        <v>62063</v>
      </c>
      <c r="H638" s="2">
        <v>1586.2705841561567</v>
      </c>
      <c r="I638" s="5">
        <f t="shared" si="78"/>
        <v>3.2984764640507036E-2</v>
      </c>
      <c r="J638" s="5">
        <f t="shared" si="75"/>
        <v>3.4357045724034974E-2</v>
      </c>
      <c r="K638" s="7">
        <f t="shared" si="76"/>
        <v>1.0001228744238588E-4</v>
      </c>
      <c r="M638" s="7">
        <f t="shared" si="79"/>
        <v>9.9999926093774505E-5</v>
      </c>
    </row>
    <row r="639" spans="1:13" x14ac:dyDescent="0.25">
      <c r="A639">
        <f t="shared" si="72"/>
        <v>53.000000000000412</v>
      </c>
      <c r="B639" s="1">
        <v>62094</v>
      </c>
      <c r="C639" s="2">
        <v>1572.180039895929</v>
      </c>
      <c r="D639" s="2">
        <f t="shared" si="73"/>
        <v>-3.7984918783882105E-3</v>
      </c>
      <c r="E639" s="5">
        <f t="shared" si="77"/>
        <v>3.2880767213078199E-2</v>
      </c>
      <c r="F639" s="5">
        <f t="shared" si="74"/>
        <v>3.4127999999999714E-2</v>
      </c>
      <c r="G639" s="1">
        <v>62094</v>
      </c>
      <c r="H639" s="2">
        <v>1580.2578971464909</v>
      </c>
      <c r="I639" s="5">
        <f t="shared" si="78"/>
        <v>3.2980767138927503E-2</v>
      </c>
      <c r="J639" s="5">
        <f t="shared" si="75"/>
        <v>3.4227999999999703E-2</v>
      </c>
      <c r="K639" s="7">
        <f t="shared" si="76"/>
        <v>9.9999999999988987E-5</v>
      </c>
      <c r="M639" s="7">
        <f t="shared" si="79"/>
        <v>9.9999925849303395E-5</v>
      </c>
    </row>
    <row r="640" spans="1:13" x14ac:dyDescent="0.25">
      <c r="A640">
        <f t="shared" si="72"/>
        <v>53.083333333333748</v>
      </c>
      <c r="B640" s="1">
        <v>62125</v>
      </c>
      <c r="C640" s="2">
        <v>1581.8711492918808</v>
      </c>
      <c r="D640" s="2">
        <f t="shared" si="73"/>
        <v>6.1641218880970072E-3</v>
      </c>
      <c r="E640" s="5">
        <f t="shared" si="77"/>
        <v>3.2876769588025656E-2</v>
      </c>
      <c r="F640" s="5">
        <f t="shared" si="74"/>
        <v>3.4193237932039322E-2</v>
      </c>
      <c r="G640" s="1">
        <v>62125</v>
      </c>
      <c r="H640" s="2">
        <v>1590.0116276450935</v>
      </c>
      <c r="I640" s="5">
        <f t="shared" si="78"/>
        <v>3.2976769513644699E-2</v>
      </c>
      <c r="J640" s="5">
        <f t="shared" si="75"/>
        <v>3.4293244437292536E-2</v>
      </c>
      <c r="K640" s="7">
        <f t="shared" si="76"/>
        <v>1.0000650525321397E-4</v>
      </c>
      <c r="M640" s="7">
        <f t="shared" si="79"/>
        <v>9.999992561904314E-5</v>
      </c>
    </row>
    <row r="641" spans="1:13" x14ac:dyDescent="0.25">
      <c r="A641">
        <f t="shared" si="72"/>
        <v>53.166666666667084</v>
      </c>
      <c r="B641" s="1">
        <v>62153</v>
      </c>
      <c r="C641" s="2">
        <v>1588.5493236325515</v>
      </c>
      <c r="D641" s="2">
        <f t="shared" si="73"/>
        <v>4.221692989128778E-3</v>
      </c>
      <c r="E641" s="5">
        <f t="shared" si="77"/>
        <v>3.2872771978445181E-2</v>
      </c>
      <c r="F641" s="5">
        <f t="shared" si="74"/>
        <v>3.4220685002220863E-2</v>
      </c>
      <c r="G641" s="1">
        <v>62153</v>
      </c>
      <c r="H641" s="2">
        <v>1596.7370510528033</v>
      </c>
      <c r="I641" s="5">
        <f t="shared" si="78"/>
        <v>3.2972771903832854E-2</v>
      </c>
      <c r="J641" s="5">
        <f t="shared" si="75"/>
        <v>3.432069435775098E-2</v>
      </c>
      <c r="K641" s="7">
        <f t="shared" si="76"/>
        <v>1.0000935553011736E-4</v>
      </c>
      <c r="M641" s="7">
        <f t="shared" si="79"/>
        <v>9.9999925387672661E-5</v>
      </c>
    </row>
    <row r="642" spans="1:13" x14ac:dyDescent="0.25">
      <c r="A642">
        <f t="shared" si="72"/>
        <v>53.250000000000419</v>
      </c>
      <c r="B642" s="1">
        <v>62184</v>
      </c>
      <c r="C642" s="2">
        <v>1599.5088733583477</v>
      </c>
      <c r="D642" s="2">
        <f t="shared" si="73"/>
        <v>6.8990931302874703E-3</v>
      </c>
      <c r="E642" s="5">
        <f t="shared" si="77"/>
        <v>3.2868774384336996E-2</v>
      </c>
      <c r="F642" s="5">
        <f t="shared" si="74"/>
        <v>3.429976246333899E-2</v>
      </c>
      <c r="G642" s="1">
        <v>62184</v>
      </c>
      <c r="H642" s="2">
        <v>1607.7660601212349</v>
      </c>
      <c r="I642" s="5">
        <f t="shared" si="78"/>
        <v>3.2968774309491744E-2</v>
      </c>
      <c r="J642" s="5">
        <f t="shared" si="75"/>
        <v>3.4399779661221874E-2</v>
      </c>
      <c r="K642" s="7">
        <f t="shared" si="76"/>
        <v>1.0001719788288455E-4</v>
      </c>
      <c r="M642" s="7">
        <f t="shared" si="79"/>
        <v>9.9999925154747871E-5</v>
      </c>
    </row>
    <row r="643" spans="1:13" x14ac:dyDescent="0.25">
      <c r="A643">
        <f t="shared" si="72"/>
        <v>53.333333333333755</v>
      </c>
      <c r="B643" s="1">
        <v>62214</v>
      </c>
      <c r="C643" s="2">
        <v>1605.0244132642567</v>
      </c>
      <c r="D643" s="2">
        <f t="shared" si="73"/>
        <v>3.4482709022605196E-3</v>
      </c>
      <c r="E643" s="5">
        <f t="shared" si="77"/>
        <v>3.2864776805701101E-2</v>
      </c>
      <c r="F643" s="5">
        <f t="shared" si="74"/>
        <v>3.4312018068957784E-2</v>
      </c>
      <c r="G643" s="1">
        <v>62214</v>
      </c>
      <c r="H643" s="2">
        <v>1613.3230893267148</v>
      </c>
      <c r="I643" s="5">
        <f t="shared" si="78"/>
        <v>3.2964776730621148E-2</v>
      </c>
      <c r="J643" s="5">
        <f t="shared" si="75"/>
        <v>3.4412036646899624E-2</v>
      </c>
      <c r="K643" s="7">
        <f t="shared" si="76"/>
        <v>1.0001857794184055E-4</v>
      </c>
      <c r="M643" s="7">
        <f t="shared" si="79"/>
        <v>9.9999924920046723E-5</v>
      </c>
    </row>
    <row r="644" spans="1:13" x14ac:dyDescent="0.25">
      <c r="A644">
        <f t="shared" si="72"/>
        <v>53.416666666667091</v>
      </c>
      <c r="B644" s="1">
        <v>62245</v>
      </c>
      <c r="C644" s="2">
        <v>1607.5347683463326</v>
      </c>
      <c r="D644" s="2">
        <f t="shared" si="73"/>
        <v>1.5640603727455904E-3</v>
      </c>
      <c r="E644" s="5">
        <f t="shared" si="77"/>
        <v>3.2860779242537275E-2</v>
      </c>
      <c r="F644" s="5">
        <f t="shared" si="74"/>
        <v>3.4287842838068849E-2</v>
      </c>
      <c r="G644" s="1">
        <v>62245</v>
      </c>
      <c r="H644" s="2">
        <v>1615.8594607853204</v>
      </c>
      <c r="I644" s="5">
        <f t="shared" si="78"/>
        <v>3.2960779167221066E-2</v>
      </c>
      <c r="J644" s="5">
        <f t="shared" si="75"/>
        <v>3.4387859272575927E-2</v>
      </c>
      <c r="K644" s="7">
        <f t="shared" si="76"/>
        <v>1.0001643450707753E-4</v>
      </c>
      <c r="M644" s="7">
        <f t="shared" si="79"/>
        <v>9.9999924683791264E-5</v>
      </c>
    </row>
    <row r="645" spans="1:13" x14ac:dyDescent="0.25">
      <c r="A645">
        <f t="shared" ref="A645:A708" si="80">A644+1/12</f>
        <v>53.500000000000426</v>
      </c>
      <c r="B645" s="1">
        <v>62275</v>
      </c>
      <c r="C645" s="2">
        <v>1605.8162233153344</v>
      </c>
      <c r="D645" s="2">
        <f t="shared" ref="D645:D708" si="81">C645/C644-1</f>
        <v>-1.0690562125547087E-3</v>
      </c>
      <c r="E645" s="5">
        <f t="shared" si="77"/>
        <v>3.2856781694845072E-2</v>
      </c>
      <c r="F645" s="5">
        <f t="shared" ref="F645:F708" si="82">(C645/$C$3)^(1/A645)-1</f>
        <v>3.4212853804443277E-2</v>
      </c>
      <c r="G645" s="1">
        <v>62275</v>
      </c>
      <c r="H645" s="2">
        <v>1614.1450391043613</v>
      </c>
      <c r="I645" s="5">
        <f t="shared" si="78"/>
        <v>3.2956781619291498E-2</v>
      </c>
      <c r="J645" s="5">
        <f t="shared" ref="J645:J708" si="83">(H645/$H$3)^(1/A645)-1</f>
        <v>3.431286318115756E-2</v>
      </c>
      <c r="K645" s="7">
        <f t="shared" ref="K645:K708" si="84">J645-F645</f>
        <v>1.0000937671428289E-4</v>
      </c>
      <c r="M645" s="7">
        <f t="shared" si="79"/>
        <v>9.9999924446425581E-5</v>
      </c>
    </row>
    <row r="646" spans="1:13" x14ac:dyDescent="0.25">
      <c r="A646">
        <f t="shared" si="80"/>
        <v>53.583333333333762</v>
      </c>
      <c r="B646" s="1">
        <v>62306</v>
      </c>
      <c r="C646" s="2">
        <v>1612.0665612513501</v>
      </c>
      <c r="D646" s="2">
        <f t="shared" si="81"/>
        <v>3.8923121122238502E-3</v>
      </c>
      <c r="E646" s="5">
        <f t="shared" si="77"/>
        <v>3.2852784162625159E-2</v>
      </c>
      <c r="F646" s="5">
        <f t="shared" si="82"/>
        <v>3.4233725605116838E-2</v>
      </c>
      <c r="G646" s="1">
        <v>62306</v>
      </c>
      <c r="H646" s="2">
        <v>1620.4408690998871</v>
      </c>
      <c r="I646" s="5">
        <f t="shared" si="78"/>
        <v>3.2952784086832443E-2</v>
      </c>
      <c r="J646" s="5">
        <f t="shared" si="83"/>
        <v>3.4333737193260605E-2</v>
      </c>
      <c r="K646" s="7">
        <f t="shared" si="84"/>
        <v>1.0001158814376687E-4</v>
      </c>
      <c r="M646" s="7">
        <f t="shared" si="79"/>
        <v>9.9999924207283541E-5</v>
      </c>
    </row>
    <row r="647" spans="1:13" x14ac:dyDescent="0.25">
      <c r="A647">
        <f t="shared" si="80"/>
        <v>53.666666666667098</v>
      </c>
      <c r="B647" s="1">
        <v>62337</v>
      </c>
      <c r="C647" s="2">
        <v>1619.4056775243962</v>
      </c>
      <c r="D647" s="2">
        <f t="shared" si="81"/>
        <v>4.5526136757958469E-3</v>
      </c>
      <c r="E647" s="5">
        <f t="shared" si="77"/>
        <v>3.2848786645877093E-2</v>
      </c>
      <c r="F647" s="5">
        <f t="shared" si="82"/>
        <v>3.4267204793309025E-2</v>
      </c>
      <c r="G647" s="1">
        <v>62337</v>
      </c>
      <c r="H647" s="2">
        <v>1627.8312436958095</v>
      </c>
      <c r="I647" s="5">
        <f t="shared" si="78"/>
        <v>3.2948786569843902E-2</v>
      </c>
      <c r="J647" s="5">
        <f t="shared" si="83"/>
        <v>3.4367219811441529E-2</v>
      </c>
      <c r="K647" s="7">
        <f t="shared" si="84"/>
        <v>1.0001501813250435E-4</v>
      </c>
      <c r="M647" s="7">
        <f t="shared" si="79"/>
        <v>9.9999923966809234E-5</v>
      </c>
    </row>
    <row r="648" spans="1:13" x14ac:dyDescent="0.25">
      <c r="A648">
        <f t="shared" si="80"/>
        <v>53.750000000000433</v>
      </c>
      <c r="B648" s="1">
        <v>62367</v>
      </c>
      <c r="C648" s="2">
        <v>1621.4104473292007</v>
      </c>
      <c r="D648" s="2">
        <f t="shared" si="81"/>
        <v>1.2379663926269657E-3</v>
      </c>
      <c r="E648" s="5">
        <f t="shared" si="77"/>
        <v>3.2844789144600872E-2</v>
      </c>
      <c r="F648" s="5">
        <f t="shared" si="82"/>
        <v>3.4236984183889208E-2</v>
      </c>
      <c r="G648" s="1">
        <v>62367</v>
      </c>
      <c r="H648" s="2">
        <v>1629.8595937675309</v>
      </c>
      <c r="I648" s="5">
        <f t="shared" si="78"/>
        <v>3.2944789068325431E-2</v>
      </c>
      <c r="J648" s="5">
        <f t="shared" si="83"/>
        <v>3.4336996471558745E-2</v>
      </c>
      <c r="K648" s="7">
        <f t="shared" si="84"/>
        <v>1.0001228766953751E-4</v>
      </c>
      <c r="M648" s="7">
        <f t="shared" si="79"/>
        <v>9.999992372455857E-5</v>
      </c>
    </row>
    <row r="649" spans="1:13" x14ac:dyDescent="0.25">
      <c r="A649">
        <f t="shared" si="80"/>
        <v>53.833333333333769</v>
      </c>
      <c r="B649" s="1">
        <v>62398</v>
      </c>
      <c r="C649" s="2">
        <v>1623.8872561961186</v>
      </c>
      <c r="D649" s="2">
        <f t="shared" si="81"/>
        <v>1.5275643937029404E-3</v>
      </c>
      <c r="E649" s="5">
        <f t="shared" si="77"/>
        <v>3.2840791658796276E-2</v>
      </c>
      <c r="F649" s="5">
        <f t="shared" si="82"/>
        <v>3.4212413894394889E-2</v>
      </c>
      <c r="G649" s="1">
        <v>62398</v>
      </c>
      <c r="H649" s="2">
        <v>1632.36247914213</v>
      </c>
      <c r="I649" s="5">
        <f t="shared" si="78"/>
        <v>3.2940791582277251E-2</v>
      </c>
      <c r="J649" s="5">
        <f t="shared" si="83"/>
        <v>3.4312423997391539E-2</v>
      </c>
      <c r="K649" s="7">
        <f t="shared" si="84"/>
        <v>1.0001010299665047E-4</v>
      </c>
      <c r="M649" s="7">
        <f t="shared" si="79"/>
        <v>9.9999923480975639E-5</v>
      </c>
    </row>
    <row r="650" spans="1:13" x14ac:dyDescent="0.25">
      <c r="A650">
        <f t="shared" si="80"/>
        <v>53.916666666667105</v>
      </c>
      <c r="B650" s="1">
        <v>62428</v>
      </c>
      <c r="C650" s="2">
        <v>1629.9969223646019</v>
      </c>
      <c r="D650" s="2">
        <f t="shared" si="81"/>
        <v>3.7623709067062805E-3</v>
      </c>
      <c r="E650" s="5">
        <f t="shared" si="77"/>
        <v>3.2836794188463747E-2</v>
      </c>
      <c r="F650" s="5">
        <f t="shared" si="82"/>
        <v>3.4230674292871521E-2</v>
      </c>
      <c r="G650" s="1">
        <v>62428</v>
      </c>
      <c r="H650" s="2">
        <v>1638.5172517919532</v>
      </c>
      <c r="I650" s="5">
        <f t="shared" si="78"/>
        <v>3.2936794111699363E-2</v>
      </c>
      <c r="J650" s="5">
        <f t="shared" si="83"/>
        <v>3.4330686352403328E-2</v>
      </c>
      <c r="K650" s="7">
        <f t="shared" si="84"/>
        <v>1.0001205953180659E-4</v>
      </c>
      <c r="M650" s="7">
        <f t="shared" si="79"/>
        <v>9.999992323561635E-5</v>
      </c>
    </row>
    <row r="651" spans="1:13" x14ac:dyDescent="0.25">
      <c r="A651">
        <f t="shared" si="80"/>
        <v>54.000000000000441</v>
      </c>
      <c r="B651" s="1">
        <v>62459</v>
      </c>
      <c r="C651" s="2">
        <v>1623.799107574458</v>
      </c>
      <c r="D651" s="2">
        <f t="shared" si="81"/>
        <v>-3.802347541339457E-3</v>
      </c>
      <c r="E651" s="5">
        <f t="shared" si="77"/>
        <v>3.2832796733601732E-2</v>
      </c>
      <c r="F651" s="5">
        <f t="shared" si="82"/>
        <v>3.410399999999969E-2</v>
      </c>
      <c r="G651" s="1">
        <v>62459</v>
      </c>
      <c r="H651" s="2">
        <v>1632.3002091381911</v>
      </c>
      <c r="I651" s="5">
        <f t="shared" si="78"/>
        <v>3.2932796656592656E-2</v>
      </c>
      <c r="J651" s="5">
        <f t="shared" si="83"/>
        <v>3.4203999999999679E-2</v>
      </c>
      <c r="K651" s="7">
        <f t="shared" si="84"/>
        <v>9.9999999999988987E-5</v>
      </c>
      <c r="M651" s="7">
        <f t="shared" si="79"/>
        <v>9.9999922990923196E-5</v>
      </c>
    </row>
    <row r="652" spans="1:13" x14ac:dyDescent="0.25">
      <c r="A652">
        <f t="shared" si="80"/>
        <v>54.083333333333776</v>
      </c>
      <c r="B652" s="1">
        <v>62490</v>
      </c>
      <c r="C652" s="2">
        <v>1633.8020795411046</v>
      </c>
      <c r="D652" s="2">
        <f t="shared" si="81"/>
        <v>6.1602275306016363E-3</v>
      </c>
      <c r="E652" s="5">
        <f t="shared" si="77"/>
        <v>3.2828799155020016E-2</v>
      </c>
      <c r="F652" s="5">
        <f t="shared" si="82"/>
        <v>3.4167993131257957E-2</v>
      </c>
      <c r="G652" s="1">
        <v>62490</v>
      </c>
      <c r="H652" s="2">
        <v>1642.3688010631502</v>
      </c>
      <c r="I652" s="5">
        <f t="shared" si="78"/>
        <v>3.2928799077778459E-2</v>
      </c>
      <c r="J652" s="5">
        <f t="shared" si="83"/>
        <v>3.4267999516225167E-2</v>
      </c>
      <c r="K652" s="7">
        <f t="shared" si="84"/>
        <v>1.0000638496721059E-4</v>
      </c>
      <c r="M652" s="7">
        <f t="shared" si="79"/>
        <v>9.9999922758442494E-5</v>
      </c>
    </row>
    <row r="653" spans="1:13" x14ac:dyDescent="0.25">
      <c r="A653">
        <f t="shared" si="80"/>
        <v>54.166666666667112</v>
      </c>
      <c r="B653" s="1">
        <v>62518</v>
      </c>
      <c r="C653" s="2">
        <v>1640.6931399997545</v>
      </c>
      <c r="D653" s="2">
        <f t="shared" si="81"/>
        <v>4.2178061498032715E-3</v>
      </c>
      <c r="E653" s="5">
        <f t="shared" si="77"/>
        <v>3.2824801591911035E-2</v>
      </c>
      <c r="F653" s="5">
        <f t="shared" si="82"/>
        <v>3.4194897761847587E-2</v>
      </c>
      <c r="G653" s="1">
        <v>62518</v>
      </c>
      <c r="H653" s="2">
        <v>1649.3093015294608</v>
      </c>
      <c r="I653" s="5">
        <f t="shared" si="78"/>
        <v>3.2924801514434776E-2</v>
      </c>
      <c r="J653" s="5">
        <f t="shared" si="83"/>
        <v>3.4294906944652315E-2</v>
      </c>
      <c r="K653" s="7">
        <f t="shared" si="84"/>
        <v>1.0000918280472781E-4</v>
      </c>
      <c r="M653" s="7">
        <f t="shared" si="79"/>
        <v>9.9999922523741347E-5</v>
      </c>
    </row>
    <row r="654" spans="1:13" x14ac:dyDescent="0.25">
      <c r="A654">
        <f t="shared" si="80"/>
        <v>54.250000000000448</v>
      </c>
      <c r="B654" s="1">
        <v>62549</v>
      </c>
      <c r="C654" s="2">
        <v>1652.0060406579207</v>
      </c>
      <c r="D654" s="2">
        <f t="shared" si="81"/>
        <v>6.8951959280867392E-3</v>
      </c>
      <c r="E654" s="5">
        <f t="shared" si="77"/>
        <v>3.2820804044274787E-2</v>
      </c>
      <c r="F654" s="5">
        <f t="shared" si="82"/>
        <v>3.4272481407116473E-2</v>
      </c>
      <c r="G654" s="1">
        <v>62549</v>
      </c>
      <c r="H654" s="2">
        <v>1660.6950114105784</v>
      </c>
      <c r="I654" s="5">
        <f t="shared" si="78"/>
        <v>3.2920803966562495E-2</v>
      </c>
      <c r="J654" s="5">
        <f t="shared" si="83"/>
        <v>3.4372498287960962E-2</v>
      </c>
      <c r="K654" s="7">
        <f t="shared" si="84"/>
        <v>1.0001688084448901E-4</v>
      </c>
      <c r="M654" s="7">
        <f t="shared" si="79"/>
        <v>9.9999922287707932E-5</v>
      </c>
    </row>
    <row r="655" spans="1:13" x14ac:dyDescent="0.25">
      <c r="A655">
        <f t="shared" si="80"/>
        <v>54.333333333333783</v>
      </c>
      <c r="B655" s="1">
        <v>62579</v>
      </c>
      <c r="C655" s="2">
        <v>1657.696188881564</v>
      </c>
      <c r="D655" s="2">
        <f t="shared" si="81"/>
        <v>3.4443870564644374E-3</v>
      </c>
      <c r="E655" s="5">
        <f t="shared" si="77"/>
        <v>3.281680651211083E-2</v>
      </c>
      <c r="F655" s="5">
        <f t="shared" si="82"/>
        <v>3.4284479294244274E-2</v>
      </c>
      <c r="G655" s="1">
        <v>62579</v>
      </c>
      <c r="H655" s="2">
        <v>1666.4285331738452</v>
      </c>
      <c r="I655" s="5">
        <f t="shared" si="78"/>
        <v>3.2916806434161172E-2</v>
      </c>
      <c r="J655" s="5">
        <f t="shared" si="83"/>
        <v>3.4384497530229652E-2</v>
      </c>
      <c r="K655" s="7">
        <f t="shared" si="84"/>
        <v>1.000182359853774E-4</v>
      </c>
      <c r="M655" s="7">
        <f t="shared" si="79"/>
        <v>9.9999922050342249E-5</v>
      </c>
    </row>
    <row r="656" spans="1:13" x14ac:dyDescent="0.25">
      <c r="A656">
        <f t="shared" si="80"/>
        <v>54.416666666667119</v>
      </c>
      <c r="B656" s="1">
        <v>62610</v>
      </c>
      <c r="C656" s="2">
        <v>1660.2824996535767</v>
      </c>
      <c r="D656" s="2">
        <f t="shared" si="81"/>
        <v>1.560183819785177E-3</v>
      </c>
      <c r="E656" s="5">
        <f t="shared" ref="E656:E719" si="85">C656/C644-1</f>
        <v>3.2812808995419385E-2</v>
      </c>
      <c r="F656" s="5">
        <f t="shared" si="82"/>
        <v>3.4260717558689979E-2</v>
      </c>
      <c r="G656" s="1">
        <v>62610</v>
      </c>
      <c r="H656" s="2">
        <v>1669.0419344552477</v>
      </c>
      <c r="I656" s="5">
        <f t="shared" ref="I656:I719" si="86">H656/H644-1</f>
        <v>3.2912808917231029E-2</v>
      </c>
      <c r="J656" s="5">
        <f t="shared" si="83"/>
        <v>3.4360733691160439E-2</v>
      </c>
      <c r="K656" s="7">
        <f t="shared" si="84"/>
        <v>1.000161324704596E-4</v>
      </c>
      <c r="M656" s="7">
        <f t="shared" ref="M656:M719" si="87">I656-E656</f>
        <v>9.9999921811644299E-5</v>
      </c>
    </row>
    <row r="657" spans="1:13" x14ac:dyDescent="0.25">
      <c r="A657">
        <f t="shared" si="80"/>
        <v>54.500000000000455</v>
      </c>
      <c r="B657" s="1">
        <v>62640</v>
      </c>
      <c r="C657" s="2">
        <v>1658.5011450804161</v>
      </c>
      <c r="D657" s="2">
        <f t="shared" si="81"/>
        <v>-1.0729225740392367E-3</v>
      </c>
      <c r="E657" s="5">
        <f t="shared" si="85"/>
        <v>3.2808811494200452E-2</v>
      </c>
      <c r="F657" s="5">
        <f t="shared" si="82"/>
        <v>3.4187074378329241E-2</v>
      </c>
      <c r="G657" s="1">
        <v>62640</v>
      </c>
      <c r="H657" s="2">
        <v>1667.26463379395</v>
      </c>
      <c r="I657" s="5">
        <f t="shared" si="86"/>
        <v>3.2908811415771622E-2</v>
      </c>
      <c r="J657" s="5">
        <f t="shared" si="83"/>
        <v>3.4287083582986044E-2</v>
      </c>
      <c r="K657" s="7">
        <f t="shared" si="84"/>
        <v>1.0000920465680352E-4</v>
      </c>
      <c r="M657" s="7">
        <f t="shared" si="87"/>
        <v>9.9999921571169992E-5</v>
      </c>
    </row>
    <row r="658" spans="1:13" x14ac:dyDescent="0.25">
      <c r="A658">
        <f t="shared" si="80"/>
        <v>54.58333333333379</v>
      </c>
      <c r="B658" s="1">
        <v>62671</v>
      </c>
      <c r="C658" s="2">
        <v>1664.9501049624484</v>
      </c>
      <c r="D658" s="2">
        <f t="shared" si="81"/>
        <v>3.8884265477667768E-3</v>
      </c>
      <c r="E658" s="5">
        <f t="shared" si="85"/>
        <v>3.2804814008453809E-2</v>
      </c>
      <c r="F658" s="5">
        <f t="shared" si="82"/>
        <v>3.4207529302833661E-2</v>
      </c>
      <c r="G658" s="1">
        <v>62671</v>
      </c>
      <c r="H658" s="2">
        <v>1673.761174381835</v>
      </c>
      <c r="I658" s="5">
        <f t="shared" si="86"/>
        <v>3.2904813929783172E-2</v>
      </c>
      <c r="J658" s="5">
        <f t="shared" si="83"/>
        <v>3.4307540678663706E-2</v>
      </c>
      <c r="K658" s="7">
        <f t="shared" si="84"/>
        <v>1.0001137583004471E-4</v>
      </c>
      <c r="M658" s="7">
        <f t="shared" si="87"/>
        <v>9.9999921329363417E-5</v>
      </c>
    </row>
    <row r="659" spans="1:13" x14ac:dyDescent="0.25">
      <c r="A659">
        <f t="shared" si="80"/>
        <v>54.666666666667126</v>
      </c>
      <c r="B659" s="1">
        <v>62702</v>
      </c>
      <c r="C659" s="2">
        <v>1672.52350605376</v>
      </c>
      <c r="D659" s="2">
        <f t="shared" si="81"/>
        <v>4.5487255556420081E-3</v>
      </c>
      <c r="E659" s="5">
        <f t="shared" si="85"/>
        <v>3.2800816538179456E-2</v>
      </c>
      <c r="F659" s="5">
        <f t="shared" si="82"/>
        <v>3.4240361932544205E-2</v>
      </c>
      <c r="G659" s="1">
        <v>62702</v>
      </c>
      <c r="H659" s="2">
        <v>1681.3882206713026</v>
      </c>
      <c r="I659" s="5">
        <f t="shared" si="86"/>
        <v>3.2900816459265236E-2</v>
      </c>
      <c r="J659" s="5">
        <f t="shared" si="83"/>
        <v>3.4340376675934481E-2</v>
      </c>
      <c r="K659" s="7">
        <f t="shared" si="84"/>
        <v>1.0001474339027538E-4</v>
      </c>
      <c r="M659" s="7">
        <f t="shared" si="87"/>
        <v>9.9999921085780485E-5</v>
      </c>
    </row>
    <row r="660" spans="1:13" x14ac:dyDescent="0.25">
      <c r="A660">
        <f t="shared" si="80"/>
        <v>54.750000000000462</v>
      </c>
      <c r="B660" s="1">
        <v>62732</v>
      </c>
      <c r="C660" s="2">
        <v>1674.5875524301539</v>
      </c>
      <c r="D660" s="2">
        <f t="shared" si="81"/>
        <v>1.2340911018129397E-3</v>
      </c>
      <c r="E660" s="5">
        <f t="shared" si="85"/>
        <v>3.2796819083376949E-2</v>
      </c>
      <c r="F660" s="5">
        <f t="shared" si="82"/>
        <v>3.4210661802141384E-2</v>
      </c>
      <c r="G660" s="1">
        <v>62732</v>
      </c>
      <c r="H660" s="2">
        <v>1683.47678982599</v>
      </c>
      <c r="I660" s="5">
        <f t="shared" si="86"/>
        <v>3.2896819004218258E-2</v>
      </c>
      <c r="J660" s="5">
        <f t="shared" si="83"/>
        <v>3.4310673865365127E-2</v>
      </c>
      <c r="K660" s="7">
        <f t="shared" si="84"/>
        <v>1.0001206322374223E-4</v>
      </c>
      <c r="M660" s="7">
        <f t="shared" si="87"/>
        <v>9.9999920841309375E-5</v>
      </c>
    </row>
    <row r="661" spans="1:13" x14ac:dyDescent="0.25">
      <c r="A661">
        <f t="shared" si="80"/>
        <v>54.833333333333798</v>
      </c>
      <c r="B661" s="1">
        <v>62763</v>
      </c>
      <c r="C661" s="2">
        <v>1677.1391013585987</v>
      </c>
      <c r="D661" s="2">
        <f t="shared" si="81"/>
        <v>1.5236879820001992E-3</v>
      </c>
      <c r="E661" s="5">
        <f t="shared" si="85"/>
        <v>3.2792821644046954E-2</v>
      </c>
      <c r="F661" s="5">
        <f t="shared" si="82"/>
        <v>3.4186507214053696E-2</v>
      </c>
      <c r="G661" s="1">
        <v>62763</v>
      </c>
      <c r="H661" s="2">
        <v>1686.0554868973684</v>
      </c>
      <c r="I661" s="5">
        <f t="shared" si="86"/>
        <v>3.2892821564641794E-2</v>
      </c>
      <c r="J661" s="5">
        <f t="shared" si="83"/>
        <v>3.4286517132792182E-2</v>
      </c>
      <c r="K661" s="7">
        <f t="shared" si="84"/>
        <v>1.0000991873848619E-4</v>
      </c>
      <c r="M661" s="7">
        <f t="shared" si="87"/>
        <v>9.9999920594839864E-5</v>
      </c>
    </row>
    <row r="662" spans="1:13" x14ac:dyDescent="0.25">
      <c r="A662">
        <f t="shared" si="80"/>
        <v>54.916666666667133</v>
      </c>
      <c r="B662" s="1">
        <v>62793</v>
      </c>
      <c r="C662" s="2">
        <v>1683.4426049314638</v>
      </c>
      <c r="D662" s="2">
        <f t="shared" si="81"/>
        <v>3.7584858451864545E-3</v>
      </c>
      <c r="E662" s="5">
        <f t="shared" si="85"/>
        <v>3.2788824220189028E-2</v>
      </c>
      <c r="F662" s="5">
        <f t="shared" si="82"/>
        <v>3.4204401071457058E-2</v>
      </c>
      <c r="G662" s="1">
        <v>62793</v>
      </c>
      <c r="H662" s="2">
        <v>1692.406157537373</v>
      </c>
      <c r="I662" s="5">
        <f t="shared" si="86"/>
        <v>3.2888824140536066E-2</v>
      </c>
      <c r="J662" s="5">
        <f t="shared" si="83"/>
        <v>3.4304412911378979E-2</v>
      </c>
      <c r="K662" s="7">
        <f t="shared" si="84"/>
        <v>1.0001183992192075E-4</v>
      </c>
      <c r="M662" s="7">
        <f t="shared" si="87"/>
        <v>9.9999920347038085E-5</v>
      </c>
    </row>
    <row r="663" spans="1:13" x14ac:dyDescent="0.25">
      <c r="A663">
        <f t="shared" si="80"/>
        <v>55.000000000000469</v>
      </c>
      <c r="B663" s="1">
        <v>62824</v>
      </c>
      <c r="C663" s="2">
        <v>1677.0350800934464</v>
      </c>
      <c r="D663" s="2">
        <f t="shared" si="81"/>
        <v>-3.8062033236222481E-3</v>
      </c>
      <c r="E663" s="5">
        <f t="shared" si="85"/>
        <v>3.2784826811802725E-2</v>
      </c>
      <c r="F663" s="5">
        <f t="shared" si="82"/>
        <v>3.4079999999999666E-2</v>
      </c>
      <c r="G663" s="1">
        <v>62824</v>
      </c>
      <c r="H663" s="2">
        <v>1685.9781186901448</v>
      </c>
      <c r="I663" s="5">
        <f t="shared" si="86"/>
        <v>3.2884826731900185E-2</v>
      </c>
      <c r="J663" s="5">
        <f t="shared" si="83"/>
        <v>3.4179999999999877E-2</v>
      </c>
      <c r="K663" s="7">
        <f t="shared" si="84"/>
        <v>1.0000000000021103E-4</v>
      </c>
      <c r="M663" s="7">
        <f t="shared" si="87"/>
        <v>9.9999920097459949E-5</v>
      </c>
    </row>
    <row r="664" spans="1:13" x14ac:dyDescent="0.25">
      <c r="A664">
        <f t="shared" si="80"/>
        <v>55.083333333333805</v>
      </c>
      <c r="B664" s="1">
        <v>62855</v>
      </c>
      <c r="C664" s="2">
        <v>1687.3594665873552</v>
      </c>
      <c r="D664" s="2">
        <f t="shared" si="81"/>
        <v>6.1563330525760129E-3</v>
      </c>
      <c r="E664" s="5">
        <f t="shared" si="85"/>
        <v>3.2780829279696722E-2</v>
      </c>
      <c r="F664" s="5">
        <f t="shared" si="82"/>
        <v>3.4142793528894932E-2</v>
      </c>
      <c r="G664" s="1">
        <v>62855</v>
      </c>
      <c r="H664" s="2">
        <v>1696.3712490935827</v>
      </c>
      <c r="I664" s="5">
        <f t="shared" si="86"/>
        <v>3.2880829199553263E-2</v>
      </c>
      <c r="J664" s="5">
        <f t="shared" si="83"/>
        <v>3.4242799797943979E-2</v>
      </c>
      <c r="K664" s="7">
        <f t="shared" si="84"/>
        <v>1.0000626904904664E-4</v>
      </c>
      <c r="M664" s="7">
        <f t="shared" si="87"/>
        <v>9.9999919856541553E-5</v>
      </c>
    </row>
    <row r="665" spans="1:13" x14ac:dyDescent="0.25">
      <c r="A665">
        <f t="shared" si="80"/>
        <v>55.16666666666714</v>
      </c>
      <c r="B665" s="1">
        <v>62884</v>
      </c>
      <c r="C665" s="2">
        <v>1694.4698630243395</v>
      </c>
      <c r="D665" s="2">
        <f t="shared" si="81"/>
        <v>4.2139191901799933E-3</v>
      </c>
      <c r="E665" s="5">
        <f t="shared" si="85"/>
        <v>3.2776831763063896E-2</v>
      </c>
      <c r="F665" s="5">
        <f t="shared" si="82"/>
        <v>3.4169175318606415E-2</v>
      </c>
      <c r="G665" s="1">
        <v>62884</v>
      </c>
      <c r="H665" s="2">
        <v>1703.5333658285206</v>
      </c>
      <c r="I665" s="5">
        <f t="shared" si="86"/>
        <v>3.2876831682678409E-2</v>
      </c>
      <c r="J665" s="5">
        <f t="shared" si="83"/>
        <v>3.4269184334948077E-2</v>
      </c>
      <c r="K665" s="7">
        <f t="shared" si="84"/>
        <v>1.0000901634166226E-4</v>
      </c>
      <c r="M665" s="7">
        <f t="shared" si="87"/>
        <v>9.9999919614512933E-5</v>
      </c>
    </row>
    <row r="666" spans="1:13" x14ac:dyDescent="0.25">
      <c r="A666">
        <f t="shared" si="80"/>
        <v>55.250000000000476</v>
      </c>
      <c r="B666" s="1">
        <v>62915</v>
      </c>
      <c r="C666" s="2">
        <v>1706.1469608280663</v>
      </c>
      <c r="D666" s="2">
        <f t="shared" si="81"/>
        <v>6.8912986052671599E-3</v>
      </c>
      <c r="E666" s="5">
        <f t="shared" si="85"/>
        <v>3.2772834261903583E-2</v>
      </c>
      <c r="F666" s="5">
        <f t="shared" si="82"/>
        <v>3.4245319131997576E-2</v>
      </c>
      <c r="G666" s="1">
        <v>62915</v>
      </c>
      <c r="H666" s="2">
        <v>1715.2867631463482</v>
      </c>
      <c r="I666" s="5">
        <f t="shared" si="86"/>
        <v>3.2872834181274513E-2</v>
      </c>
      <c r="J666" s="5">
        <f t="shared" si="83"/>
        <v>3.4345335707281377E-2</v>
      </c>
      <c r="K666" s="7">
        <f t="shared" si="84"/>
        <v>1.0001657528380115E-4</v>
      </c>
      <c r="M666" s="7">
        <f t="shared" si="87"/>
        <v>9.9999919370930002E-5</v>
      </c>
    </row>
    <row r="667" spans="1:13" x14ac:dyDescent="0.25">
      <c r="A667">
        <f t="shared" si="80"/>
        <v>55.333333333333812</v>
      </c>
      <c r="B667" s="1">
        <v>62945</v>
      </c>
      <c r="C667" s="2">
        <v>1712.0169647195801</v>
      </c>
      <c r="D667" s="2">
        <f t="shared" si="81"/>
        <v>3.4405030904633982E-3</v>
      </c>
      <c r="E667" s="5">
        <f t="shared" si="85"/>
        <v>3.2768836776216448E-2</v>
      </c>
      <c r="F667" s="5">
        <f t="shared" si="82"/>
        <v>3.4257068438495297E-2</v>
      </c>
      <c r="G667" s="1">
        <v>62945</v>
      </c>
      <c r="H667" s="2">
        <v>1721.2021004951951</v>
      </c>
      <c r="I667" s="5">
        <f t="shared" si="86"/>
        <v>3.2868836695342241E-2</v>
      </c>
      <c r="J667" s="5">
        <f t="shared" si="83"/>
        <v>3.4357086344885435E-2</v>
      </c>
      <c r="K667" s="7">
        <f t="shared" si="84"/>
        <v>1.0001790639013741E-4</v>
      </c>
      <c r="M667" s="7">
        <f t="shared" si="87"/>
        <v>9.9999919125792758E-5</v>
      </c>
    </row>
    <row r="668" spans="1:13" x14ac:dyDescent="0.25">
      <c r="A668">
        <f t="shared" si="80"/>
        <v>55.416666666667147</v>
      </c>
      <c r="B668" s="1">
        <v>62976</v>
      </c>
      <c r="C668" s="2">
        <v>1714.6813889572934</v>
      </c>
      <c r="D668" s="2">
        <f t="shared" si="81"/>
        <v>1.5563071468451817E-3</v>
      </c>
      <c r="E668" s="5">
        <f t="shared" si="85"/>
        <v>3.2764839306002047E-2</v>
      </c>
      <c r="F668" s="5">
        <f t="shared" si="82"/>
        <v>3.4233705080276344E-2</v>
      </c>
      <c r="G668" s="1">
        <v>62976</v>
      </c>
      <c r="H668" s="2">
        <v>1723.8947292907039</v>
      </c>
      <c r="I668" s="5">
        <f t="shared" si="86"/>
        <v>3.2864839224881148E-2</v>
      </c>
      <c r="J668" s="5">
        <f t="shared" si="83"/>
        <v>3.4333720921611688E-2</v>
      </c>
      <c r="K668" s="7">
        <f t="shared" si="84"/>
        <v>1.0001584133534358E-4</v>
      </c>
      <c r="M668" s="7">
        <f t="shared" si="87"/>
        <v>9.9999918879101202E-5</v>
      </c>
    </row>
    <row r="669" spans="1:13" x14ac:dyDescent="0.25">
      <c r="A669">
        <f t="shared" si="80"/>
        <v>55.500000000000483</v>
      </c>
      <c r="B669" s="1">
        <v>63006</v>
      </c>
      <c r="C669" s="2">
        <v>1712.8350388045296</v>
      </c>
      <c r="D669" s="2">
        <f t="shared" si="81"/>
        <v>-1.0767890551880432E-3</v>
      </c>
      <c r="E669" s="5">
        <f t="shared" si="85"/>
        <v>3.2760841851260158E-2</v>
      </c>
      <c r="F669" s="5">
        <f t="shared" si="82"/>
        <v>3.4161359078573428E-2</v>
      </c>
      <c r="G669" s="1">
        <v>63006</v>
      </c>
      <c r="H669" s="2">
        <v>1722.0523531135889</v>
      </c>
      <c r="I669" s="5">
        <f t="shared" si="86"/>
        <v>3.2860841769891458E-2</v>
      </c>
      <c r="J669" s="5">
        <f t="shared" si="83"/>
        <v>3.4261368117373125E-2</v>
      </c>
      <c r="K669" s="7">
        <f t="shared" si="84"/>
        <v>1.0000903879969769E-4</v>
      </c>
      <c r="M669" s="7">
        <f t="shared" si="87"/>
        <v>9.9999918631299423E-5</v>
      </c>
    </row>
    <row r="670" spans="1:13" x14ac:dyDescent="0.25">
      <c r="A670">
        <f t="shared" si="80"/>
        <v>55.583333333333819</v>
      </c>
      <c r="B670" s="1">
        <v>63037</v>
      </c>
      <c r="C670" s="2">
        <v>1719.4886165044318</v>
      </c>
      <c r="D670" s="2">
        <f t="shared" si="81"/>
        <v>3.8845408630512335E-3</v>
      </c>
      <c r="E670" s="5">
        <f t="shared" si="85"/>
        <v>3.2756844411991226E-2</v>
      </c>
      <c r="F670" s="5">
        <f t="shared" si="82"/>
        <v>3.4181412032328939E-2</v>
      </c>
      <c r="G670" s="1">
        <v>63037</v>
      </c>
      <c r="H670" s="2">
        <v>1728.7556847347207</v>
      </c>
      <c r="I670" s="5">
        <f t="shared" si="86"/>
        <v>3.2856844330372725E-2</v>
      </c>
      <c r="J670" s="5">
        <f t="shared" si="83"/>
        <v>3.4281423203484929E-2</v>
      </c>
      <c r="K670" s="7">
        <f t="shared" si="84"/>
        <v>1.0001117115598923E-4</v>
      </c>
      <c r="M670" s="7">
        <f t="shared" si="87"/>
        <v>9.9999918381499242E-5</v>
      </c>
    </row>
    <row r="671" spans="1:13" x14ac:dyDescent="0.25">
      <c r="A671">
        <f t="shared" si="80"/>
        <v>55.666666666667155</v>
      </c>
      <c r="B671" s="1">
        <v>63068</v>
      </c>
      <c r="C671" s="2">
        <v>1727.3034125316979</v>
      </c>
      <c r="D671" s="2">
        <f t="shared" si="81"/>
        <v>4.5448373151506516E-3</v>
      </c>
      <c r="E671" s="5">
        <f t="shared" si="85"/>
        <v>3.2752846988194806E-2</v>
      </c>
      <c r="F671" s="5">
        <f t="shared" si="82"/>
        <v>3.4213621217878076E-2</v>
      </c>
      <c r="G671" s="1">
        <v>63068</v>
      </c>
      <c r="H671" s="2">
        <v>1736.6266104751155</v>
      </c>
      <c r="I671" s="5">
        <f t="shared" si="86"/>
        <v>3.2852846906325173E-2</v>
      </c>
      <c r="J671" s="5">
        <f t="shared" si="83"/>
        <v>3.4313635696398226E-2</v>
      </c>
      <c r="K671" s="7">
        <f t="shared" si="84"/>
        <v>1.0001447852014955E-4</v>
      </c>
      <c r="M671" s="7">
        <f t="shared" si="87"/>
        <v>9.9999918130366794E-5</v>
      </c>
    </row>
    <row r="672" spans="1:13" x14ac:dyDescent="0.25">
      <c r="A672">
        <f t="shared" si="80"/>
        <v>55.75000000000049</v>
      </c>
      <c r="B672" s="1">
        <v>63098</v>
      </c>
      <c r="C672" s="2">
        <v>1729.4283682930136</v>
      </c>
      <c r="D672" s="2">
        <f t="shared" si="81"/>
        <v>1.2302156910586337E-3</v>
      </c>
      <c r="E672" s="5">
        <f t="shared" si="85"/>
        <v>3.274884957987112E-2</v>
      </c>
      <c r="F672" s="5">
        <f t="shared" si="82"/>
        <v>3.4184422739468312E-2</v>
      </c>
      <c r="G672" s="1">
        <v>63098</v>
      </c>
      <c r="H672" s="2">
        <v>1738.7770655279371</v>
      </c>
      <c r="I672" s="5">
        <f t="shared" si="86"/>
        <v>3.28488494977488E-2</v>
      </c>
      <c r="J672" s="5">
        <f t="shared" si="83"/>
        <v>3.4284434586298485E-2</v>
      </c>
      <c r="K672" s="7">
        <f t="shared" si="84"/>
        <v>1.000118468301725E-4</v>
      </c>
      <c r="M672" s="7">
        <f t="shared" si="87"/>
        <v>9.9999917877680033E-5</v>
      </c>
    </row>
    <row r="673" spans="1:13" x14ac:dyDescent="0.25">
      <c r="A673">
        <f t="shared" si="80"/>
        <v>55.833333333333826</v>
      </c>
      <c r="B673" s="1">
        <v>63129</v>
      </c>
      <c r="C673" s="2">
        <v>1732.0567733296575</v>
      </c>
      <c r="D673" s="2">
        <f t="shared" si="81"/>
        <v>1.519811450322317E-3</v>
      </c>
      <c r="E673" s="5">
        <f t="shared" si="85"/>
        <v>3.2744852187019946E-2</v>
      </c>
      <c r="F673" s="5">
        <f t="shared" si="82"/>
        <v>3.4160668836034525E-2</v>
      </c>
      <c r="G673" s="1">
        <v>63129</v>
      </c>
      <c r="H673" s="2">
        <v>1741.433730004735</v>
      </c>
      <c r="I673" s="5">
        <f t="shared" si="86"/>
        <v>3.2844852104643385E-2</v>
      </c>
      <c r="J673" s="5">
        <f t="shared" si="83"/>
        <v>3.4260678577115122E-2</v>
      </c>
      <c r="K673" s="7">
        <f t="shared" si="84"/>
        <v>1.0000974108059779E-4</v>
      </c>
      <c r="M673" s="7">
        <f t="shared" si="87"/>
        <v>9.9999917623438961E-5</v>
      </c>
    </row>
    <row r="674" spans="1:13" x14ac:dyDescent="0.25">
      <c r="A674">
        <f t="shared" si="80"/>
        <v>55.916666666667162</v>
      </c>
      <c r="B674" s="1">
        <v>63159</v>
      </c>
      <c r="C674" s="2">
        <v>1738.5599548398886</v>
      </c>
      <c r="D674" s="2">
        <f t="shared" si="81"/>
        <v>3.7546006634237017E-3</v>
      </c>
      <c r="E674" s="5">
        <f t="shared" si="85"/>
        <v>3.274085480964084E-2</v>
      </c>
      <c r="F674" s="5">
        <f t="shared" si="82"/>
        <v>3.417820916224068E-2</v>
      </c>
      <c r="G674" s="1">
        <v>63159</v>
      </c>
      <c r="H674" s="2">
        <v>1747.9862222961535</v>
      </c>
      <c r="I674" s="5">
        <f t="shared" si="86"/>
        <v>3.284085472700915E-2</v>
      </c>
      <c r="J674" s="5">
        <f t="shared" si="83"/>
        <v>3.4278220790407987E-2</v>
      </c>
      <c r="K674" s="7">
        <f t="shared" si="84"/>
        <v>1.0001162816730691E-4</v>
      </c>
      <c r="M674" s="7">
        <f t="shared" si="87"/>
        <v>9.999991736830971E-5</v>
      </c>
    </row>
    <row r="675" spans="1:13" x14ac:dyDescent="0.25">
      <c r="A675">
        <f t="shared" si="80"/>
        <v>56.000000000000497</v>
      </c>
      <c r="B675" s="1">
        <v>63190</v>
      </c>
      <c r="C675" s="2">
        <v>1731.9359384453153</v>
      </c>
      <c r="D675" s="2">
        <f t="shared" si="81"/>
        <v>-3.8100592252415799E-3</v>
      </c>
      <c r="E675" s="5">
        <f t="shared" si="85"/>
        <v>3.2736857447734247E-2</v>
      </c>
      <c r="F675" s="5">
        <f t="shared" si="82"/>
        <v>3.4055999999999864E-2</v>
      </c>
      <c r="G675" s="1">
        <v>63190</v>
      </c>
      <c r="H675" s="2">
        <v>1741.3403416938268</v>
      </c>
      <c r="I675" s="5">
        <f t="shared" si="86"/>
        <v>3.2836857364847427E-2</v>
      </c>
      <c r="J675" s="5">
        <f t="shared" si="83"/>
        <v>3.4155999999999853E-2</v>
      </c>
      <c r="K675" s="7">
        <f t="shared" si="84"/>
        <v>9.9999999999988987E-5</v>
      </c>
      <c r="M675" s="7">
        <f t="shared" si="87"/>
        <v>9.9999917113180459E-5</v>
      </c>
    </row>
    <row r="676" spans="1:13" x14ac:dyDescent="0.25">
      <c r="A676">
        <f t="shared" si="80"/>
        <v>56.083333333333833</v>
      </c>
      <c r="B676" s="1">
        <v>63221</v>
      </c>
      <c r="C676" s="2">
        <v>1742.5915677128864</v>
      </c>
      <c r="D676" s="2">
        <f t="shared" si="81"/>
        <v>6.1524384540090349E-3</v>
      </c>
      <c r="E676" s="5">
        <f t="shared" si="85"/>
        <v>3.2732859962102179E-2</v>
      </c>
      <c r="F676" s="5">
        <f t="shared" si="82"/>
        <v>3.4117636707130305E-2</v>
      </c>
      <c r="G676" s="1">
        <v>63221</v>
      </c>
      <c r="H676" s="2">
        <v>1752.0679686177912</v>
      </c>
      <c r="I676" s="5">
        <f t="shared" si="86"/>
        <v>3.2832859878973331E-2</v>
      </c>
      <c r="J676" s="5">
        <f t="shared" si="83"/>
        <v>3.4217642864394993E-2</v>
      </c>
      <c r="K676" s="7">
        <f t="shared" si="84"/>
        <v>1.0000615726468709E-4</v>
      </c>
      <c r="M676" s="7">
        <f t="shared" si="87"/>
        <v>9.9999916871151839E-5</v>
      </c>
    </row>
    <row r="677" spans="1:13" x14ac:dyDescent="0.25">
      <c r="A677">
        <f t="shared" si="80"/>
        <v>56.166666666667169</v>
      </c>
      <c r="B677" s="1">
        <v>63249</v>
      </c>
      <c r="C677" s="2">
        <v>1749.9279341680051</v>
      </c>
      <c r="D677" s="2">
        <f t="shared" si="81"/>
        <v>4.2100321102480631E-3</v>
      </c>
      <c r="E677" s="5">
        <f t="shared" si="85"/>
        <v>3.2728862491943289E-2</v>
      </c>
      <c r="F677" s="5">
        <f t="shared" si="82"/>
        <v>3.4143514211369519E-2</v>
      </c>
      <c r="G677" s="1">
        <v>63249</v>
      </c>
      <c r="H677" s="2">
        <v>1759.4584283037148</v>
      </c>
      <c r="I677" s="5">
        <f t="shared" si="86"/>
        <v>3.2828862408570858E-2</v>
      </c>
      <c r="J677" s="5">
        <f t="shared" si="83"/>
        <v>3.4243523067175818E-2</v>
      </c>
      <c r="K677" s="7">
        <f t="shared" si="84"/>
        <v>1.0000885580629948E-4</v>
      </c>
      <c r="M677" s="7">
        <f t="shared" si="87"/>
        <v>9.9999916627568908E-5</v>
      </c>
    </row>
    <row r="678" spans="1:13" x14ac:dyDescent="0.25">
      <c r="A678">
        <f t="shared" si="80"/>
        <v>56.250000000000504</v>
      </c>
      <c r="B678" s="1">
        <v>63280</v>
      </c>
      <c r="C678" s="2">
        <v>1761.9803898548926</v>
      </c>
      <c r="D678" s="2">
        <f t="shared" si="81"/>
        <v>6.8874011618185182E-3</v>
      </c>
      <c r="E678" s="5">
        <f t="shared" si="85"/>
        <v>3.2724865037258022E-2</v>
      </c>
      <c r="F678" s="5">
        <f t="shared" si="82"/>
        <v>3.4218269302475068E-2</v>
      </c>
      <c r="G678" s="1">
        <v>63280</v>
      </c>
      <c r="H678" s="2">
        <v>1771.5908195033944</v>
      </c>
      <c r="I678" s="5">
        <f t="shared" si="86"/>
        <v>3.2824864953640676E-2</v>
      </c>
      <c r="J678" s="5">
        <f t="shared" si="83"/>
        <v>3.4318285583063046E-2</v>
      </c>
      <c r="K678" s="7">
        <f t="shared" si="84"/>
        <v>1.0001628058797785E-4</v>
      </c>
      <c r="M678" s="7">
        <f t="shared" si="87"/>
        <v>9.9999916382653709E-5</v>
      </c>
    </row>
    <row r="679" spans="1:13" x14ac:dyDescent="0.25">
      <c r="A679">
        <f t="shared" si="80"/>
        <v>56.33333333333384</v>
      </c>
      <c r="B679" s="1">
        <v>63310</v>
      </c>
      <c r="C679" s="2">
        <v>1768.0356451477771</v>
      </c>
      <c r="D679" s="2">
        <f t="shared" si="81"/>
        <v>3.4366190042462996E-3</v>
      </c>
      <c r="E679" s="5">
        <f t="shared" si="85"/>
        <v>3.2720867598045489E-2</v>
      </c>
      <c r="F679" s="5">
        <f t="shared" si="82"/>
        <v>3.4229778688859458E-2</v>
      </c>
      <c r="G679" s="1">
        <v>63310</v>
      </c>
      <c r="H679" s="2">
        <v>1777.6934466006792</v>
      </c>
      <c r="I679" s="5">
        <f t="shared" si="86"/>
        <v>3.2820867514181673E-2</v>
      </c>
      <c r="J679" s="5">
        <f t="shared" si="83"/>
        <v>3.4329796277356772E-2</v>
      </c>
      <c r="K679" s="7">
        <f t="shared" si="84"/>
        <v>1.0001758849731424E-4</v>
      </c>
      <c r="M679" s="7">
        <f t="shared" si="87"/>
        <v>9.9999916136184197E-5</v>
      </c>
    </row>
    <row r="680" spans="1:13" x14ac:dyDescent="0.25">
      <c r="A680">
        <f t="shared" si="80"/>
        <v>56.416666666667176</v>
      </c>
      <c r="B680" s="1">
        <v>63341</v>
      </c>
      <c r="C680" s="2">
        <v>1770.7803973501086</v>
      </c>
      <c r="D680" s="2">
        <f t="shared" si="81"/>
        <v>1.5524303539151685E-3</v>
      </c>
      <c r="E680" s="5">
        <f t="shared" si="85"/>
        <v>3.2716870174306356E-2</v>
      </c>
      <c r="F680" s="5">
        <f t="shared" si="82"/>
        <v>3.4206799404082666E-2</v>
      </c>
      <c r="G680" s="1">
        <v>63341</v>
      </c>
      <c r="H680" s="2">
        <v>1780.4675586710082</v>
      </c>
      <c r="I680" s="5">
        <f t="shared" si="86"/>
        <v>3.2816870090194517E-2</v>
      </c>
      <c r="J680" s="5">
        <f t="shared" si="83"/>
        <v>3.4306814964604415E-2</v>
      </c>
      <c r="K680" s="7">
        <f t="shared" si="84"/>
        <v>1.0001556052174898E-4</v>
      </c>
      <c r="M680" s="7">
        <f t="shared" si="87"/>
        <v>9.9999915888160373E-5</v>
      </c>
    </row>
    <row r="681" spans="1:13" x14ac:dyDescent="0.25">
      <c r="A681">
        <f t="shared" si="80"/>
        <v>56.500000000000512</v>
      </c>
      <c r="B681" s="1">
        <v>63371</v>
      </c>
      <c r="C681" s="2">
        <v>1768.8667934981581</v>
      </c>
      <c r="D681" s="2">
        <f t="shared" si="81"/>
        <v>-1.0806556560113423E-3</v>
      </c>
      <c r="E681" s="5">
        <f t="shared" si="85"/>
        <v>3.2712872766040402E-2</v>
      </c>
      <c r="F681" s="5">
        <f t="shared" si="82"/>
        <v>3.4135704500084962E-2</v>
      </c>
      <c r="G681" s="1">
        <v>63371</v>
      </c>
      <c r="H681" s="2">
        <v>1778.557837727491</v>
      </c>
      <c r="I681" s="5">
        <f t="shared" si="86"/>
        <v>3.2812872681679206E-2</v>
      </c>
      <c r="J681" s="5">
        <f t="shared" si="83"/>
        <v>3.423571337889908E-2</v>
      </c>
      <c r="K681" s="7">
        <f t="shared" si="84"/>
        <v>1.0000887881411735E-4</v>
      </c>
      <c r="M681" s="7">
        <f t="shared" si="87"/>
        <v>9.9999915638804282E-5</v>
      </c>
    </row>
    <row r="682" spans="1:13" x14ac:dyDescent="0.25">
      <c r="A682">
        <f t="shared" si="80"/>
        <v>56.583333333333847</v>
      </c>
      <c r="B682" s="1">
        <v>63402</v>
      </c>
      <c r="C682" s="2">
        <v>1775.7311553673928</v>
      </c>
      <c r="D682" s="2">
        <f t="shared" si="81"/>
        <v>3.8806550580665622E-3</v>
      </c>
      <c r="E682" s="5">
        <f t="shared" si="85"/>
        <v>3.2708875373247404E-2</v>
      </c>
      <c r="F682" s="5">
        <f t="shared" si="82"/>
        <v>3.4155369603175334E-2</v>
      </c>
      <c r="G682" s="1">
        <v>63402</v>
      </c>
      <c r="H682" s="2">
        <v>1785.4742143997012</v>
      </c>
      <c r="I682" s="5">
        <f t="shared" si="86"/>
        <v>3.2808875288635075E-2</v>
      </c>
      <c r="J682" s="5">
        <f t="shared" si="83"/>
        <v>3.4255380576892369E-2</v>
      </c>
      <c r="K682" s="7">
        <f t="shared" si="84"/>
        <v>1.0001097371703516E-4</v>
      </c>
      <c r="M682" s="7">
        <f t="shared" si="87"/>
        <v>9.9999915387671834E-5</v>
      </c>
    </row>
    <row r="683" spans="1:13" x14ac:dyDescent="0.25">
      <c r="A683">
        <f t="shared" si="80"/>
        <v>56.666666666667183</v>
      </c>
      <c r="B683" s="1">
        <v>63433</v>
      </c>
      <c r="C683" s="2">
        <v>1783.7946599004961</v>
      </c>
      <c r="D683" s="2">
        <f t="shared" si="81"/>
        <v>4.5409489543111192E-3</v>
      </c>
      <c r="E683" s="5">
        <f t="shared" si="85"/>
        <v>3.2704877995927362E-2</v>
      </c>
      <c r="F683" s="5">
        <f t="shared" si="82"/>
        <v>3.4186977241192018E-2</v>
      </c>
      <c r="G683" s="1">
        <v>63433</v>
      </c>
      <c r="H683" s="2">
        <v>1793.5964344088543</v>
      </c>
      <c r="I683" s="5">
        <f t="shared" si="86"/>
        <v>3.2804877911062791E-2</v>
      </c>
      <c r="J683" s="5">
        <f t="shared" si="83"/>
        <v>3.4286991464190564E-2</v>
      </c>
      <c r="K683" s="7">
        <f t="shared" si="84"/>
        <v>1.0001422299854568E-4</v>
      </c>
      <c r="M683" s="7">
        <f t="shared" si="87"/>
        <v>9.9999915135429163E-5</v>
      </c>
    </row>
    <row r="684" spans="1:13" x14ac:dyDescent="0.25">
      <c r="A684">
        <f t="shared" si="80"/>
        <v>56.750000000000519</v>
      </c>
      <c r="B684" s="1">
        <v>63463</v>
      </c>
      <c r="C684" s="2">
        <v>1785.9821989297557</v>
      </c>
      <c r="D684" s="2">
        <f t="shared" si="81"/>
        <v>1.2263401603531676E-3</v>
      </c>
      <c r="E684" s="5">
        <f t="shared" si="85"/>
        <v>3.2700880634080276E-2</v>
      </c>
      <c r="F684" s="5">
        <f t="shared" si="82"/>
        <v>3.4158262591081234E-2</v>
      </c>
      <c r="G684" s="1">
        <v>63463</v>
      </c>
      <c r="H684" s="2">
        <v>1795.810484355593</v>
      </c>
      <c r="I684" s="5">
        <f t="shared" si="86"/>
        <v>3.2800880548961686E-2</v>
      </c>
      <c r="J684" s="5">
        <f t="shared" si="83"/>
        <v>3.4258274229144625E-2</v>
      </c>
      <c r="K684" s="7">
        <f t="shared" si="84"/>
        <v>1.0001163806339086E-4</v>
      </c>
      <c r="M684" s="7">
        <f t="shared" si="87"/>
        <v>9.9999914881410135E-5</v>
      </c>
    </row>
    <row r="685" spans="1:13" x14ac:dyDescent="0.25">
      <c r="A685">
        <f t="shared" si="80"/>
        <v>56.833333333333854</v>
      </c>
      <c r="B685" s="1">
        <v>63494</v>
      </c>
      <c r="C685" s="2">
        <v>1788.6896314948981</v>
      </c>
      <c r="D685" s="2">
        <f t="shared" si="81"/>
        <v>1.5159347986586358E-3</v>
      </c>
      <c r="E685" s="5">
        <f t="shared" si="85"/>
        <v>3.2696883287706147E-2</v>
      </c>
      <c r="F685" s="5">
        <f t="shared" si="82"/>
        <v>3.413489515476309E-2</v>
      </c>
      <c r="G685" s="1">
        <v>63494</v>
      </c>
      <c r="H685" s="2">
        <v>1798.5473286523018</v>
      </c>
      <c r="I685" s="5">
        <f t="shared" si="86"/>
        <v>3.2796883202331983E-2</v>
      </c>
      <c r="J685" s="5">
        <f t="shared" si="83"/>
        <v>3.4234904724438353E-2</v>
      </c>
      <c r="K685" s="7">
        <f t="shared" si="84"/>
        <v>1.0000956967526342E-4</v>
      </c>
      <c r="M685" s="7">
        <f t="shared" si="87"/>
        <v>9.9999914625836794E-5</v>
      </c>
    </row>
    <row r="686" spans="1:13" x14ac:dyDescent="0.25">
      <c r="A686">
        <f t="shared" si="80"/>
        <v>56.91666666666719</v>
      </c>
      <c r="B686" s="1">
        <v>63524</v>
      </c>
      <c r="C686" s="2">
        <v>1795.3984971725365</v>
      </c>
      <c r="D686" s="2">
        <f t="shared" si="81"/>
        <v>3.7507153614075861E-3</v>
      </c>
      <c r="E686" s="5">
        <f t="shared" si="85"/>
        <v>3.2692885956804529E-2</v>
      </c>
      <c r="F686" s="5">
        <f t="shared" si="82"/>
        <v>3.4152094279122247E-2</v>
      </c>
      <c r="G686" s="1">
        <v>63524</v>
      </c>
      <c r="H686" s="2">
        <v>1805.3077349882951</v>
      </c>
      <c r="I686" s="5">
        <f t="shared" si="86"/>
        <v>3.2792885871173461E-2</v>
      </c>
      <c r="J686" s="5">
        <f t="shared" si="83"/>
        <v>3.4252105702976321E-2</v>
      </c>
      <c r="K686" s="7">
        <f t="shared" si="84"/>
        <v>1.0001142385407391E-4</v>
      </c>
      <c r="M686" s="7">
        <f t="shared" si="87"/>
        <v>9.9999914368931186E-5</v>
      </c>
    </row>
    <row r="687" spans="1:13" x14ac:dyDescent="0.25">
      <c r="A687">
        <f t="shared" si="80"/>
        <v>57.000000000000526</v>
      </c>
      <c r="B687" s="1">
        <v>63555</v>
      </c>
      <c r="C687" s="2">
        <v>1788.5509994711535</v>
      </c>
      <c r="D687" s="2">
        <f t="shared" si="81"/>
        <v>-3.8139152462066672E-3</v>
      </c>
      <c r="E687" s="5">
        <f t="shared" si="85"/>
        <v>3.2688888641377423E-2</v>
      </c>
      <c r="F687" s="5">
        <f t="shared" si="82"/>
        <v>3.4031999999999618E-2</v>
      </c>
      <c r="G687" s="1">
        <v>63555</v>
      </c>
      <c r="H687" s="2">
        <v>1798.4369560947987</v>
      </c>
      <c r="I687" s="5">
        <f t="shared" si="86"/>
        <v>3.2788888555486562E-2</v>
      </c>
      <c r="J687" s="5">
        <f t="shared" si="83"/>
        <v>3.4131999999999607E-2</v>
      </c>
      <c r="K687" s="7">
        <f t="shared" si="84"/>
        <v>9.9999999999988987E-5</v>
      </c>
      <c r="M687" s="7">
        <f t="shared" si="87"/>
        <v>9.9999914109138999E-5</v>
      </c>
    </row>
    <row r="688" spans="1:13" x14ac:dyDescent="0.25">
      <c r="A688">
        <f t="shared" si="80"/>
        <v>57.083333333333862</v>
      </c>
      <c r="B688" s="1">
        <v>63586</v>
      </c>
      <c r="C688" s="2">
        <v>1799.5479835134988</v>
      </c>
      <c r="D688" s="2">
        <f t="shared" si="81"/>
        <v>6.1485437348987038E-3</v>
      </c>
      <c r="E688" s="5">
        <f t="shared" si="85"/>
        <v>3.2684891202226174E-2</v>
      </c>
      <c r="F688" s="5">
        <f t="shared" si="82"/>
        <v>3.4092520417572159E-2</v>
      </c>
      <c r="G688" s="1">
        <v>63586</v>
      </c>
      <c r="H688" s="2">
        <v>1809.5093261969103</v>
      </c>
      <c r="I688" s="5">
        <f t="shared" si="86"/>
        <v>3.2784891116087511E-2</v>
      </c>
      <c r="J688" s="5">
        <f t="shared" si="83"/>
        <v>3.4192526466969131E-2</v>
      </c>
      <c r="K688" s="7">
        <f t="shared" si="84"/>
        <v>1.0000604939697233E-4</v>
      </c>
      <c r="M688" s="7">
        <f t="shared" si="87"/>
        <v>9.999991386133722E-5</v>
      </c>
    </row>
    <row r="689" spans="1:13" x14ac:dyDescent="0.25">
      <c r="A689">
        <f t="shared" si="80"/>
        <v>57.166666666667197</v>
      </c>
      <c r="B689" s="1">
        <v>63614</v>
      </c>
      <c r="C689" s="2">
        <v>1807.1171431046644</v>
      </c>
      <c r="D689" s="2">
        <f t="shared" si="81"/>
        <v>4.2061449100052606E-3</v>
      </c>
      <c r="E689" s="5">
        <f t="shared" si="85"/>
        <v>3.2680893778548326E-2</v>
      </c>
      <c r="F689" s="5">
        <f t="shared" si="82"/>
        <v>3.4117911221198005E-2</v>
      </c>
      <c r="G689" s="1">
        <v>63614</v>
      </c>
      <c r="H689" s="2">
        <v>1817.1350479977148</v>
      </c>
      <c r="I689" s="5">
        <f t="shared" si="86"/>
        <v>3.2780893692160529E-2</v>
      </c>
      <c r="J689" s="5">
        <f t="shared" si="83"/>
        <v>3.421791992208556E-2</v>
      </c>
      <c r="K689" s="7">
        <f t="shared" si="84"/>
        <v>1.0000870088755498E-4</v>
      </c>
      <c r="M689" s="7">
        <f t="shared" si="87"/>
        <v>9.9999913612203173E-5</v>
      </c>
    </row>
    <row r="690" spans="1:13" x14ac:dyDescent="0.25">
      <c r="A690">
        <f t="shared" si="80"/>
        <v>57.250000000000533</v>
      </c>
      <c r="B690" s="1">
        <v>63645</v>
      </c>
      <c r="C690" s="2">
        <v>1819.5564404607601</v>
      </c>
      <c r="D690" s="2">
        <f t="shared" si="81"/>
        <v>6.8835035977383718E-3</v>
      </c>
      <c r="E690" s="5">
        <f t="shared" si="85"/>
        <v>3.2676896370344544E-2</v>
      </c>
      <c r="F690" s="5">
        <f t="shared" si="82"/>
        <v>3.4191326025732049E-2</v>
      </c>
      <c r="G690" s="1">
        <v>63645</v>
      </c>
      <c r="H690" s="2">
        <v>1829.6580680514223</v>
      </c>
      <c r="I690" s="5">
        <f t="shared" si="86"/>
        <v>3.2776896283705614E-2</v>
      </c>
      <c r="J690" s="5">
        <f t="shared" si="83"/>
        <v>3.429134202192019E-2</v>
      </c>
      <c r="K690" s="7">
        <f t="shared" si="84"/>
        <v>1.0001599618814083E-4</v>
      </c>
      <c r="M690" s="7">
        <f t="shared" si="87"/>
        <v>9.9999913361070725E-5</v>
      </c>
    </row>
    <row r="691" spans="1:13" x14ac:dyDescent="0.25">
      <c r="A691">
        <f t="shared" si="80"/>
        <v>57.333333333333869</v>
      </c>
      <c r="B691" s="1">
        <v>63675</v>
      </c>
      <c r="C691" s="2">
        <v>1825.8024951705115</v>
      </c>
      <c r="D691" s="2">
        <f t="shared" si="81"/>
        <v>3.4327347978113654E-3</v>
      </c>
      <c r="E691" s="5">
        <f t="shared" si="85"/>
        <v>3.2672898977614162E-2</v>
      </c>
      <c r="F691" s="5">
        <f t="shared" si="82"/>
        <v>3.4202603707842005E-2</v>
      </c>
      <c r="G691" s="1">
        <v>63675</v>
      </c>
      <c r="H691" s="2">
        <v>1835.9536141848241</v>
      </c>
      <c r="I691" s="5">
        <f t="shared" si="86"/>
        <v>3.277289889072299E-2</v>
      </c>
      <c r="J691" s="5">
        <f t="shared" si="83"/>
        <v>3.4302620989536736E-2</v>
      </c>
      <c r="K691" s="7">
        <f t="shared" si="84"/>
        <v>1.000172816947309E-4</v>
      </c>
      <c r="M691" s="7">
        <f t="shared" si="87"/>
        <v>9.9999913108828054E-5</v>
      </c>
    </row>
    <row r="692" spans="1:13" x14ac:dyDescent="0.25">
      <c r="A692">
        <f t="shared" si="80"/>
        <v>57.416666666667204</v>
      </c>
      <c r="B692" s="1">
        <v>63706</v>
      </c>
      <c r="C692" s="2">
        <v>1828.6298479069808</v>
      </c>
      <c r="D692" s="2">
        <f t="shared" si="81"/>
        <v>1.5485534409926949E-3</v>
      </c>
      <c r="E692" s="5">
        <f t="shared" si="85"/>
        <v>3.2668901600357181E-2</v>
      </c>
      <c r="F692" s="5">
        <f t="shared" si="82"/>
        <v>3.4179994949305126E-2</v>
      </c>
      <c r="G692" s="1">
        <v>63706</v>
      </c>
      <c r="H692" s="2">
        <v>1838.811524748568</v>
      </c>
      <c r="I692" s="5">
        <f t="shared" si="86"/>
        <v>3.2768901513212212E-2</v>
      </c>
      <c r="J692" s="5">
        <f t="shared" si="83"/>
        <v>3.4280010238795899E-2</v>
      </c>
      <c r="K692" s="7">
        <f t="shared" si="84"/>
        <v>1.0001528949077354E-4</v>
      </c>
      <c r="M692" s="7">
        <f t="shared" si="87"/>
        <v>9.999991285503107E-5</v>
      </c>
    </row>
    <row r="693" spans="1:13" x14ac:dyDescent="0.25">
      <c r="A693">
        <f t="shared" si="80"/>
        <v>57.50000000000054</v>
      </c>
      <c r="B693" s="1">
        <v>63736</v>
      </c>
      <c r="C693" s="2">
        <v>1826.6466579185687</v>
      </c>
      <c r="D693" s="2">
        <f t="shared" si="81"/>
        <v>-1.0845223765115763E-3</v>
      </c>
      <c r="E693" s="5">
        <f t="shared" si="85"/>
        <v>3.2664904238573822E-2</v>
      </c>
      <c r="F693" s="5">
        <f t="shared" si="82"/>
        <v>3.4110107474660145E-2</v>
      </c>
      <c r="G693" s="1">
        <v>63736</v>
      </c>
      <c r="H693" s="2">
        <v>1836.8321148079506</v>
      </c>
      <c r="I693" s="5">
        <f t="shared" si="86"/>
        <v>3.2764904151173502E-2</v>
      </c>
      <c r="J693" s="5">
        <f t="shared" si="83"/>
        <v>3.4210116199053342E-2</v>
      </c>
      <c r="K693" s="7">
        <f t="shared" si="84"/>
        <v>1.0000872439319686E-4</v>
      </c>
      <c r="M693" s="7">
        <f t="shared" si="87"/>
        <v>9.9999912599679774E-5</v>
      </c>
    </row>
    <row r="694" spans="1:13" x14ac:dyDescent="0.25">
      <c r="A694">
        <f t="shared" si="80"/>
        <v>57.583333333333876</v>
      </c>
      <c r="B694" s="1">
        <v>63767</v>
      </c>
      <c r="C694" s="2">
        <v>1833.7281452985394</v>
      </c>
      <c r="D694" s="2">
        <f t="shared" si="81"/>
        <v>3.8767691328107645E-3</v>
      </c>
      <c r="E694" s="5">
        <f t="shared" si="85"/>
        <v>3.2660906892263863E-2</v>
      </c>
      <c r="F694" s="5">
        <f t="shared" si="82"/>
        <v>3.412939811604776E-2</v>
      </c>
      <c r="G694" s="1">
        <v>63767</v>
      </c>
      <c r="H694" s="2">
        <v>1843.9679687396779</v>
      </c>
      <c r="I694" s="5">
        <f t="shared" si="86"/>
        <v>3.2760906804606638E-2</v>
      </c>
      <c r="J694" s="5">
        <f t="shared" si="83"/>
        <v>3.4229408899183467E-2</v>
      </c>
      <c r="K694" s="7">
        <f t="shared" si="84"/>
        <v>1.0001078313570666E-4</v>
      </c>
      <c r="M694" s="7">
        <f t="shared" si="87"/>
        <v>9.9999912342774167E-5</v>
      </c>
    </row>
    <row r="695" spans="1:13" x14ac:dyDescent="0.25">
      <c r="A695">
        <f t="shared" si="80"/>
        <v>57.666666666667211</v>
      </c>
      <c r="B695" s="1">
        <v>63798</v>
      </c>
      <c r="C695" s="2">
        <v>1842.0478807850232</v>
      </c>
      <c r="D695" s="2">
        <f t="shared" si="81"/>
        <v>4.5370604731211905E-3</v>
      </c>
      <c r="E695" s="5">
        <f t="shared" si="85"/>
        <v>3.2656909561427083E-2</v>
      </c>
      <c r="F695" s="5">
        <f t="shared" si="82"/>
        <v>3.4160424969522873E-2</v>
      </c>
      <c r="G695" s="1">
        <v>63798</v>
      </c>
      <c r="H695" s="2">
        <v>1852.3491104427983</v>
      </c>
      <c r="I695" s="5">
        <f t="shared" si="86"/>
        <v>3.275690947351162E-2</v>
      </c>
      <c r="J695" s="5">
        <f t="shared" si="83"/>
        <v>3.4260438945862726E-2</v>
      </c>
      <c r="K695" s="7">
        <f t="shared" si="84"/>
        <v>1.0001397633985221E-4</v>
      </c>
      <c r="M695" s="7">
        <f t="shared" si="87"/>
        <v>9.9999912084536291E-5</v>
      </c>
    </row>
    <row r="696" spans="1:13" x14ac:dyDescent="0.25">
      <c r="A696">
        <f t="shared" si="80"/>
        <v>57.750000000000547</v>
      </c>
      <c r="B696" s="1">
        <v>63828</v>
      </c>
      <c r="C696" s="2">
        <v>1844.2997189444409</v>
      </c>
      <c r="D696" s="2">
        <f t="shared" si="81"/>
        <v>1.222464509694543E-3</v>
      </c>
      <c r="E696" s="5">
        <f t="shared" si="85"/>
        <v>3.2652912246063703E-2</v>
      </c>
      <c r="F696" s="5">
        <f t="shared" si="82"/>
        <v>3.4132177257302887E-2</v>
      </c>
      <c r="G696" s="1">
        <v>63828</v>
      </c>
      <c r="H696" s="2">
        <v>1854.6285074019067</v>
      </c>
      <c r="I696" s="5">
        <f t="shared" si="86"/>
        <v>3.2752912157888447E-2</v>
      </c>
      <c r="J696" s="5">
        <f t="shared" si="83"/>
        <v>3.4232188693829935E-2</v>
      </c>
      <c r="K696" s="7">
        <f t="shared" si="84"/>
        <v>1.0001143652704769E-4</v>
      </c>
      <c r="M696" s="7">
        <f t="shared" si="87"/>
        <v>9.9999911824744103E-5</v>
      </c>
    </row>
    <row r="697" spans="1:13" x14ac:dyDescent="0.25">
      <c r="A697">
        <f t="shared" si="80"/>
        <v>57.833333333333883</v>
      </c>
      <c r="B697" s="1">
        <v>63859</v>
      </c>
      <c r="C697" s="2">
        <v>1847.0884071386774</v>
      </c>
      <c r="D697" s="2">
        <f t="shared" si="81"/>
        <v>1.512058027006935E-3</v>
      </c>
      <c r="E697" s="5">
        <f t="shared" si="85"/>
        <v>3.2648914946173502E-2</v>
      </c>
      <c r="F697" s="5">
        <f t="shared" si="82"/>
        <v>3.410918281405495E-2</v>
      </c>
      <c r="G697" s="1">
        <v>63859</v>
      </c>
      <c r="H697" s="2">
        <v>1857.4478019859459</v>
      </c>
      <c r="I697" s="5">
        <f t="shared" si="86"/>
        <v>3.2748914857736899E-2</v>
      </c>
      <c r="J697" s="5">
        <f t="shared" si="83"/>
        <v>3.4209192218252582E-2</v>
      </c>
      <c r="K697" s="7">
        <f t="shared" si="84"/>
        <v>1.0000940419763182E-4</v>
      </c>
      <c r="M697" s="7">
        <f t="shared" si="87"/>
        <v>9.9999911563397603E-5</v>
      </c>
    </row>
    <row r="698" spans="1:13" x14ac:dyDescent="0.25">
      <c r="A698">
        <f t="shared" si="80"/>
        <v>57.916666666667219</v>
      </c>
      <c r="B698" s="1">
        <v>63889</v>
      </c>
      <c r="C698" s="2">
        <v>1854.0091332827756</v>
      </c>
      <c r="D698" s="2">
        <f t="shared" si="81"/>
        <v>3.7468299391358872E-3</v>
      </c>
      <c r="E698" s="5">
        <f t="shared" si="85"/>
        <v>3.2644917661756701E-2</v>
      </c>
      <c r="F698" s="5">
        <f t="shared" si="82"/>
        <v>3.4126052432037035E-2</v>
      </c>
      <c r="G698" s="1">
        <v>63889</v>
      </c>
      <c r="H698" s="2">
        <v>1864.422387964489</v>
      </c>
      <c r="I698" s="5">
        <f t="shared" si="86"/>
        <v>3.2744917573056975E-2</v>
      </c>
      <c r="J698" s="5">
        <f t="shared" si="83"/>
        <v>3.4226063658633787E-2</v>
      </c>
      <c r="K698" s="7">
        <f t="shared" si="84"/>
        <v>1.0001122659675232E-4</v>
      </c>
      <c r="M698" s="7">
        <f t="shared" si="87"/>
        <v>9.9999911300274746E-5</v>
      </c>
    </row>
    <row r="699" spans="1:13" x14ac:dyDescent="0.25">
      <c r="A699">
        <f t="shared" si="80"/>
        <v>58.000000000000554</v>
      </c>
      <c r="B699" s="1">
        <v>63920</v>
      </c>
      <c r="C699" s="2">
        <v>1846.9309502633744</v>
      </c>
      <c r="D699" s="2">
        <f t="shared" si="81"/>
        <v>-3.8177713865240603E-3</v>
      </c>
      <c r="E699" s="5">
        <f t="shared" si="85"/>
        <v>3.2640920392811301E-2</v>
      </c>
      <c r="F699" s="5">
        <f t="shared" si="82"/>
        <v>3.4007999999999816E-2</v>
      </c>
      <c r="G699" s="1">
        <v>63920</v>
      </c>
      <c r="H699" s="2">
        <v>1857.3194371457928</v>
      </c>
      <c r="I699" s="5">
        <f t="shared" si="86"/>
        <v>3.2740920303847565E-2</v>
      </c>
      <c r="J699" s="5">
        <f t="shared" si="83"/>
        <v>3.4107999999999805E-2</v>
      </c>
      <c r="K699" s="7">
        <f t="shared" si="84"/>
        <v>9.9999999999988987E-5</v>
      </c>
      <c r="M699" s="7">
        <f t="shared" si="87"/>
        <v>9.9999911036263711E-5</v>
      </c>
    </row>
    <row r="700" spans="1:13" x14ac:dyDescent="0.25">
      <c r="A700">
        <f t="shared" si="80"/>
        <v>58.08333333333389</v>
      </c>
      <c r="B700" s="1">
        <v>63951</v>
      </c>
      <c r="C700" s="2">
        <v>1858.2796924864845</v>
      </c>
      <c r="D700" s="2">
        <f t="shared" si="81"/>
        <v>6.1446488952343614E-3</v>
      </c>
      <c r="E700" s="5">
        <f t="shared" si="85"/>
        <v>3.2636923000139095E-2</v>
      </c>
      <c r="F700" s="5">
        <f t="shared" si="82"/>
        <v>3.4067442566673156E-2</v>
      </c>
      <c r="G700" s="1">
        <v>63951</v>
      </c>
      <c r="H700" s="2">
        <v>1868.7470935152162</v>
      </c>
      <c r="I700" s="5">
        <f t="shared" si="86"/>
        <v>3.2736922910923782E-2</v>
      </c>
      <c r="J700" s="5">
        <f t="shared" si="83"/>
        <v>3.4167448511916776E-2</v>
      </c>
      <c r="K700" s="7">
        <f t="shared" si="84"/>
        <v>1.0000594524361972E-4</v>
      </c>
      <c r="M700" s="7">
        <f t="shared" si="87"/>
        <v>9.9999910784687174E-5</v>
      </c>
    </row>
    <row r="701" spans="1:13" x14ac:dyDescent="0.25">
      <c r="A701">
        <f t="shared" si="80"/>
        <v>58.166666666667226</v>
      </c>
      <c r="B701" s="1">
        <v>63979</v>
      </c>
      <c r="C701" s="2">
        <v>1866.0886624275411</v>
      </c>
      <c r="D701" s="2">
        <f t="shared" si="81"/>
        <v>4.2022575894415937E-3</v>
      </c>
      <c r="E701" s="5">
        <f t="shared" si="85"/>
        <v>3.26329256229414E-2</v>
      </c>
      <c r="F701" s="5">
        <f t="shared" si="82"/>
        <v>3.4092363350521904E-2</v>
      </c>
      <c r="G701" s="1">
        <v>63979</v>
      </c>
      <c r="H701" s="2">
        <v>1876.6151942080874</v>
      </c>
      <c r="I701" s="5">
        <f t="shared" si="86"/>
        <v>3.2732925533472734E-2</v>
      </c>
      <c r="J701" s="5">
        <f t="shared" si="83"/>
        <v>3.4192371901817564E-2</v>
      </c>
      <c r="K701" s="7">
        <f t="shared" si="84"/>
        <v>1.0000855129566055E-4</v>
      </c>
      <c r="M701" s="7">
        <f t="shared" si="87"/>
        <v>9.999991053133428E-5</v>
      </c>
    </row>
    <row r="702" spans="1:13" x14ac:dyDescent="0.25">
      <c r="A702">
        <f t="shared" si="80"/>
        <v>58.250000000000561</v>
      </c>
      <c r="B702" s="1">
        <v>64010</v>
      </c>
      <c r="C702" s="2">
        <v>1878.9266170237902</v>
      </c>
      <c r="D702" s="2">
        <f t="shared" si="81"/>
        <v>6.8796059130162845E-3</v>
      </c>
      <c r="E702" s="5">
        <f t="shared" si="85"/>
        <v>3.2628928261217327E-2</v>
      </c>
      <c r="F702" s="5">
        <f t="shared" si="82"/>
        <v>3.4164483813640567E-2</v>
      </c>
      <c r="G702" s="1">
        <v>64010</v>
      </c>
      <c r="H702" s="2">
        <v>1889.5408155390719</v>
      </c>
      <c r="I702" s="5">
        <f t="shared" si="86"/>
        <v>3.2728928171493976E-2</v>
      </c>
      <c r="J702" s="5">
        <f t="shared" si="83"/>
        <v>3.4264499535194615E-2</v>
      </c>
      <c r="K702" s="7">
        <f t="shared" si="84"/>
        <v>1.0001572155404759E-4</v>
      </c>
      <c r="M702" s="7">
        <f t="shared" si="87"/>
        <v>9.9999910276649118E-5</v>
      </c>
    </row>
    <row r="703" spans="1:13" x14ac:dyDescent="0.25">
      <c r="A703">
        <f t="shared" si="80"/>
        <v>58.333333333333897</v>
      </c>
      <c r="B703" s="1">
        <v>64040</v>
      </c>
      <c r="C703" s="2">
        <v>1885.3691754398242</v>
      </c>
      <c r="D703" s="2">
        <f t="shared" si="81"/>
        <v>3.4288504711477152E-3</v>
      </c>
      <c r="E703" s="5">
        <f t="shared" si="85"/>
        <v>3.2624930914967099E-2</v>
      </c>
      <c r="F703" s="5">
        <f t="shared" si="82"/>
        <v>3.4175537592555871E-2</v>
      </c>
      <c r="G703" s="1">
        <v>64040</v>
      </c>
      <c r="H703" s="2">
        <v>1896.0350692069089</v>
      </c>
      <c r="I703" s="5">
        <f t="shared" si="86"/>
        <v>3.2724930824987952E-2</v>
      </c>
      <c r="J703" s="5">
        <f t="shared" si="83"/>
        <v>3.4275554577967826E-2</v>
      </c>
      <c r="K703" s="7">
        <f t="shared" si="84"/>
        <v>1.0001698541195481E-4</v>
      </c>
      <c r="M703" s="7">
        <f t="shared" si="87"/>
        <v>9.9999910020853733E-5</v>
      </c>
    </row>
    <row r="704" spans="1:13" x14ac:dyDescent="0.25">
      <c r="A704">
        <f t="shared" si="80"/>
        <v>58.416666666667233</v>
      </c>
      <c r="B704" s="1">
        <v>64071</v>
      </c>
      <c r="C704" s="2">
        <v>1888.2814607256239</v>
      </c>
      <c r="D704" s="2">
        <f t="shared" si="81"/>
        <v>1.5446764080675468E-3</v>
      </c>
      <c r="E704" s="5">
        <f t="shared" si="85"/>
        <v>3.2620933584191159E-2</v>
      </c>
      <c r="F704" s="5">
        <f t="shared" si="82"/>
        <v>3.4153286517307091E-2</v>
      </c>
      <c r="G704" s="1">
        <v>64071</v>
      </c>
      <c r="H704" s="2">
        <v>1898.9791543577821</v>
      </c>
      <c r="I704" s="5">
        <f t="shared" si="86"/>
        <v>3.2720933493953996E-2</v>
      </c>
      <c r="J704" s="5">
        <f t="shared" si="83"/>
        <v>3.4253301545046577E-2</v>
      </c>
      <c r="K704" s="7">
        <f t="shared" si="84"/>
        <v>1.0001502773948623E-4</v>
      </c>
      <c r="M704" s="7">
        <f t="shared" si="87"/>
        <v>9.9999909762837902E-5</v>
      </c>
    </row>
    <row r="705" spans="1:13" x14ac:dyDescent="0.25">
      <c r="A705">
        <f t="shared" si="80"/>
        <v>58.500000000000568</v>
      </c>
      <c r="B705" s="1">
        <v>64101</v>
      </c>
      <c r="C705" s="2">
        <v>1886.2262755456773</v>
      </c>
      <c r="D705" s="2">
        <f t="shared" si="81"/>
        <v>-1.0883892166991815E-3</v>
      </c>
      <c r="E705" s="5">
        <f t="shared" si="85"/>
        <v>3.2616936268888619E-2</v>
      </c>
      <c r="F705" s="5">
        <f t="shared" si="82"/>
        <v>3.4084565050733318E-2</v>
      </c>
      <c r="G705" s="1">
        <v>64101</v>
      </c>
      <c r="H705" s="2">
        <v>1896.9276338785444</v>
      </c>
      <c r="I705" s="5">
        <f t="shared" si="86"/>
        <v>3.2716936178392775E-2</v>
      </c>
      <c r="J705" s="5">
        <f t="shared" si="83"/>
        <v>3.4184573625985371E-2</v>
      </c>
      <c r="K705" s="7">
        <f t="shared" si="84"/>
        <v>1.0000857525205298E-4</v>
      </c>
      <c r="M705" s="7">
        <f t="shared" si="87"/>
        <v>9.9999909504155937E-5</v>
      </c>
    </row>
    <row r="706" spans="1:13" x14ac:dyDescent="0.25">
      <c r="A706">
        <f t="shared" si="80"/>
        <v>58.583333333333904</v>
      </c>
      <c r="B706" s="1">
        <v>64132</v>
      </c>
      <c r="C706" s="2">
        <v>1893.5314093870084</v>
      </c>
      <c r="D706" s="2">
        <f t="shared" si="81"/>
        <v>3.8728830872731823E-3</v>
      </c>
      <c r="E706" s="5">
        <f t="shared" si="85"/>
        <v>3.2612938969060146E-2</v>
      </c>
      <c r="F706" s="5">
        <f t="shared" si="82"/>
        <v>3.410349393787615E-2</v>
      </c>
      <c r="G706" s="1">
        <v>64132</v>
      </c>
      <c r="H706" s="2">
        <v>1904.2895801946088</v>
      </c>
      <c r="I706" s="5">
        <f t="shared" si="86"/>
        <v>3.2712938878303621E-2</v>
      </c>
      <c r="J706" s="5">
        <f t="shared" si="83"/>
        <v>3.4203504536937324E-2</v>
      </c>
      <c r="K706" s="7">
        <f t="shared" si="84"/>
        <v>1.0001059906117327E-4</v>
      </c>
      <c r="M706" s="7">
        <f t="shared" si="87"/>
        <v>9.9999909243475571E-5</v>
      </c>
    </row>
    <row r="707" spans="1:13" x14ac:dyDescent="0.25">
      <c r="A707">
        <f t="shared" si="80"/>
        <v>58.66666666666724</v>
      </c>
      <c r="B707" s="1">
        <v>64163</v>
      </c>
      <c r="C707" s="2">
        <v>1902.115112709977</v>
      </c>
      <c r="D707" s="2">
        <f t="shared" si="81"/>
        <v>4.5331718715706515E-3</v>
      </c>
      <c r="E707" s="5">
        <f t="shared" si="85"/>
        <v>3.2608941684705295E-2</v>
      </c>
      <c r="F707" s="5">
        <f t="shared" si="82"/>
        <v>3.4133959713087414E-2</v>
      </c>
      <c r="G707" s="1">
        <v>64163</v>
      </c>
      <c r="H707" s="2">
        <v>1912.9374893073891</v>
      </c>
      <c r="I707" s="5">
        <f t="shared" si="86"/>
        <v>3.2708941593686536E-2</v>
      </c>
      <c r="J707" s="5">
        <f t="shared" si="83"/>
        <v>3.4233973451178068E-2</v>
      </c>
      <c r="K707" s="7">
        <f t="shared" si="84"/>
        <v>1.0001373809065406E-4</v>
      </c>
      <c r="M707" s="7">
        <f t="shared" si="87"/>
        <v>9.9999908981240893E-5</v>
      </c>
    </row>
    <row r="708" spans="1:13" x14ac:dyDescent="0.25">
      <c r="A708">
        <f t="shared" si="80"/>
        <v>58.750000000000576</v>
      </c>
      <c r="B708" s="1">
        <v>64193</v>
      </c>
      <c r="C708" s="2">
        <v>1904.4330087667443</v>
      </c>
      <c r="D708" s="2">
        <f t="shared" si="81"/>
        <v>1.2185887390721017E-3</v>
      </c>
      <c r="E708" s="5">
        <f t="shared" si="85"/>
        <v>3.2604944415824066E-2</v>
      </c>
      <c r="F708" s="5">
        <f t="shared" si="82"/>
        <v>3.4106162917597826E-2</v>
      </c>
      <c r="G708" s="1">
        <v>64193</v>
      </c>
      <c r="H708" s="2">
        <v>1915.284029479194</v>
      </c>
      <c r="I708" s="5">
        <f t="shared" si="86"/>
        <v>3.270494432454174E-2</v>
      </c>
      <c r="J708" s="5">
        <f t="shared" si="83"/>
        <v>3.4206174159449709E-2</v>
      </c>
      <c r="K708" s="7">
        <f t="shared" si="84"/>
        <v>1.0001124185188282E-4</v>
      </c>
      <c r="M708" s="7">
        <f t="shared" si="87"/>
        <v>9.9999908717673947E-5</v>
      </c>
    </row>
    <row r="709" spans="1:13" x14ac:dyDescent="0.25">
      <c r="A709">
        <f t="shared" ref="A709:A723" si="88">A708+1/12</f>
        <v>58.833333333333911</v>
      </c>
      <c r="B709" s="1">
        <v>64224</v>
      </c>
      <c r="C709" s="2">
        <v>1907.3052387041175</v>
      </c>
      <c r="D709" s="2">
        <f t="shared" ref="D709:D723" si="89">C709/C708-1</f>
        <v>1.5081811353570007E-3</v>
      </c>
      <c r="E709" s="5">
        <f t="shared" si="85"/>
        <v>3.260094716241646E-2</v>
      </c>
      <c r="F709" s="5">
        <f t="shared" ref="F709:F723" si="90">(C709/$C$3)^(1/A709)-1</f>
        <v>3.4083528685918019E-2</v>
      </c>
      <c r="G709" s="1">
        <v>64224</v>
      </c>
      <c r="H709" s="2">
        <v>1918.1881042455902</v>
      </c>
      <c r="I709" s="5">
        <f t="shared" si="86"/>
        <v>3.2700947070869013E-2</v>
      </c>
      <c r="J709" s="5">
        <f t="shared" ref="J709:J723" si="91">(H709/$H$3)^(1/A709)-1</f>
        <v>3.4183537930263741E-2</v>
      </c>
      <c r="K709" s="7">
        <f t="shared" ref="K709:K723" si="92">J709-F709</f>
        <v>1.0000924434572234E-4</v>
      </c>
      <c r="M709" s="7">
        <f t="shared" si="87"/>
        <v>9.9999908452552688E-5</v>
      </c>
    </row>
    <row r="710" spans="1:13" x14ac:dyDescent="0.25">
      <c r="A710">
        <f t="shared" si="88"/>
        <v>58.916666666667247</v>
      </c>
      <c r="B710" s="1">
        <v>64254</v>
      </c>
      <c r="C710" s="2">
        <v>1914.4441761599271</v>
      </c>
      <c r="D710" s="2">
        <f t="shared" si="89"/>
        <v>3.742944396597947E-3</v>
      </c>
      <c r="E710" s="5">
        <f t="shared" si="85"/>
        <v>3.2596949924482255E-2</v>
      </c>
      <c r="F710" s="5">
        <f t="shared" si="90"/>
        <v>3.4100079901830505E-2</v>
      </c>
      <c r="G710" s="1">
        <v>64254</v>
      </c>
      <c r="H710" s="2">
        <v>1925.3833132506677</v>
      </c>
      <c r="I710" s="5">
        <f t="shared" si="86"/>
        <v>3.2696949832668354E-2</v>
      </c>
      <c r="J710" s="5">
        <f t="shared" si="91"/>
        <v>3.4200090937866356E-2</v>
      </c>
      <c r="K710" s="7">
        <f t="shared" si="92"/>
        <v>1.0001103603585193E-4</v>
      </c>
      <c r="M710" s="7">
        <f t="shared" si="87"/>
        <v>9.9999908186099162E-5</v>
      </c>
    </row>
    <row r="711" spans="1:13" x14ac:dyDescent="0.25">
      <c r="A711">
        <f t="shared" si="88"/>
        <v>59.000000000000583</v>
      </c>
      <c r="B711" s="1">
        <v>64285</v>
      </c>
      <c r="C711" s="2">
        <v>1907.1278833692081</v>
      </c>
      <c r="D711" s="2">
        <f t="shared" si="89"/>
        <v>-3.8216276461997545E-3</v>
      </c>
      <c r="E711" s="5">
        <f t="shared" si="85"/>
        <v>3.2592952702021449E-2</v>
      </c>
      <c r="F711" s="5">
        <f t="shared" si="90"/>
        <v>3.398399999999957E-2</v>
      </c>
      <c r="G711" s="1">
        <v>64285</v>
      </c>
      <c r="H711" s="2">
        <v>1918.0406934859222</v>
      </c>
      <c r="I711" s="5">
        <f t="shared" si="86"/>
        <v>3.2692952609940873E-2</v>
      </c>
      <c r="J711" s="5">
        <f t="shared" si="91"/>
        <v>3.4083999999999781E-2</v>
      </c>
      <c r="K711" s="7">
        <f t="shared" si="92"/>
        <v>1.0000000000021103E-4</v>
      </c>
      <c r="M711" s="7">
        <f t="shared" si="87"/>
        <v>9.9999907919423592E-5</v>
      </c>
    </row>
    <row r="712" spans="1:13" x14ac:dyDescent="0.25">
      <c r="A712">
        <f t="shared" si="88"/>
        <v>59.083333333333918</v>
      </c>
      <c r="B712" s="1">
        <v>64316</v>
      </c>
      <c r="C712" s="2">
        <v>1918.8390864235778</v>
      </c>
      <c r="D712" s="2">
        <f t="shared" si="89"/>
        <v>6.140753935011567E-3</v>
      </c>
      <c r="E712" s="5">
        <f t="shared" si="85"/>
        <v>3.2588955355833171E-2</v>
      </c>
      <c r="F712" s="5">
        <f t="shared" si="90"/>
        <v>3.4042401202624806E-2</v>
      </c>
      <c r="G712" s="1">
        <v>64316</v>
      </c>
      <c r="H712" s="2">
        <v>1929.8344836539227</v>
      </c>
      <c r="I712" s="5">
        <f t="shared" si="86"/>
        <v>3.2688955263495689E-2</v>
      </c>
      <c r="J712" s="5">
        <f t="shared" si="91"/>
        <v>3.4142407047240919E-2</v>
      </c>
      <c r="K712" s="7">
        <f t="shared" si="92"/>
        <v>1.0000584461611339E-4</v>
      </c>
      <c r="M712" s="7">
        <f t="shared" si="87"/>
        <v>9.9999907662517984E-5</v>
      </c>
    </row>
    <row r="713" spans="1:13" x14ac:dyDescent="0.25">
      <c r="A713">
        <f t="shared" si="88"/>
        <v>59.166666666667254</v>
      </c>
      <c r="B713" s="1">
        <v>64345</v>
      </c>
      <c r="C713" s="2">
        <v>1926.8950831638933</v>
      </c>
      <c r="D713" s="2">
        <f t="shared" si="89"/>
        <v>4.1983701485519553E-3</v>
      </c>
      <c r="E713" s="5">
        <f t="shared" si="85"/>
        <v>3.2584958025119182E-2</v>
      </c>
      <c r="F713" s="5">
        <f t="shared" si="90"/>
        <v>3.4066867804432688E-2</v>
      </c>
      <c r="G713" s="1">
        <v>64345</v>
      </c>
      <c r="H713" s="2">
        <v>1937.952282886313</v>
      </c>
      <c r="I713" s="5">
        <f t="shared" si="86"/>
        <v>3.2684957932523462E-2</v>
      </c>
      <c r="J713" s="5">
        <f t="shared" si="91"/>
        <v>3.416687621119352E-2</v>
      </c>
      <c r="K713" s="7">
        <f t="shared" si="92"/>
        <v>1.00008406760832E-4</v>
      </c>
      <c r="M713" s="7">
        <f t="shared" si="87"/>
        <v>9.9999907404280108E-5</v>
      </c>
    </row>
    <row r="714" spans="1:13" x14ac:dyDescent="0.25">
      <c r="A714">
        <f t="shared" si="88"/>
        <v>59.25000000000059</v>
      </c>
      <c r="B714" s="1">
        <v>64376</v>
      </c>
      <c r="C714" s="2">
        <v>1940.1438513097892</v>
      </c>
      <c r="D714" s="2">
        <f t="shared" si="89"/>
        <v>6.8757081076473714E-3</v>
      </c>
      <c r="E714" s="5">
        <f t="shared" si="85"/>
        <v>3.2580960709879481E-2</v>
      </c>
      <c r="F714" s="5">
        <f t="shared" si="90"/>
        <v>3.4137737548607605E-2</v>
      </c>
      <c r="G714" s="1">
        <v>64376</v>
      </c>
      <c r="H714" s="2">
        <v>1951.292824515964</v>
      </c>
      <c r="I714" s="5">
        <f t="shared" si="86"/>
        <v>3.2680960617024191E-2</v>
      </c>
      <c r="J714" s="5">
        <f t="shared" si="91"/>
        <v>3.423775300479881E-2</v>
      </c>
      <c r="K714" s="7">
        <f t="shared" si="92"/>
        <v>1.0001545619120478E-4</v>
      </c>
      <c r="M714" s="7">
        <f t="shared" si="87"/>
        <v>9.9999907144709965E-5</v>
      </c>
    </row>
    <row r="715" spans="1:13" x14ac:dyDescent="0.25">
      <c r="A715">
        <f t="shared" si="88"/>
        <v>59.333333333333925</v>
      </c>
      <c r="B715" s="1">
        <v>64406</v>
      </c>
      <c r="C715" s="2">
        <v>1946.788778082685</v>
      </c>
      <c r="D715" s="2">
        <f t="shared" si="89"/>
        <v>3.4249660242511304E-3</v>
      </c>
      <c r="E715" s="5">
        <f t="shared" si="85"/>
        <v>3.2576963410114512E-2</v>
      </c>
      <c r="F715" s="5">
        <f t="shared" si="90"/>
        <v>3.4148574838094303E-2</v>
      </c>
      <c r="G715" s="1">
        <v>64406</v>
      </c>
      <c r="H715" s="2">
        <v>1957.9917376111239</v>
      </c>
      <c r="I715" s="5">
        <f t="shared" si="86"/>
        <v>3.2676963316997432E-2</v>
      </c>
      <c r="J715" s="5">
        <f t="shared" si="91"/>
        <v>3.4248591537211714E-2</v>
      </c>
      <c r="K715" s="7">
        <f t="shared" si="92"/>
        <v>1.0001669911741118E-4</v>
      </c>
      <c r="M715" s="7">
        <f t="shared" si="87"/>
        <v>9.9999906882919376E-5</v>
      </c>
    </row>
    <row r="716" spans="1:13" x14ac:dyDescent="0.25">
      <c r="A716">
        <f t="shared" si="88"/>
        <v>59.416666666667261</v>
      </c>
      <c r="B716" s="1">
        <v>64437</v>
      </c>
      <c r="C716" s="2">
        <v>1949.78838878186</v>
      </c>
      <c r="D716" s="2">
        <f t="shared" si="89"/>
        <v>1.5407992551350613E-3</v>
      </c>
      <c r="E716" s="5">
        <f t="shared" si="85"/>
        <v>3.2572966125823388E-2</v>
      </c>
      <c r="F716" s="5">
        <f t="shared" si="90"/>
        <v>3.4126669259455733E-2</v>
      </c>
      <c r="G716" s="1">
        <v>64437</v>
      </c>
      <c r="H716" s="2">
        <v>1961.0244357644322</v>
      </c>
      <c r="I716" s="5">
        <f t="shared" si="86"/>
        <v>3.2672966032443407E-2</v>
      </c>
      <c r="J716" s="5">
        <f t="shared" si="91"/>
        <v>3.4226684034255328E-2</v>
      </c>
      <c r="K716" s="7">
        <f t="shared" si="92"/>
        <v>1.0001477479959497E-4</v>
      </c>
      <c r="M716" s="7">
        <f t="shared" si="87"/>
        <v>9.9999906620018564E-5</v>
      </c>
    </row>
    <row r="717" spans="1:13" x14ac:dyDescent="0.25">
      <c r="A717">
        <f t="shared" si="88"/>
        <v>59.500000000000597</v>
      </c>
      <c r="B717" s="1">
        <v>64467</v>
      </c>
      <c r="C717" s="2">
        <v>1947.658720371192</v>
      </c>
      <c r="D717" s="2">
        <f t="shared" si="89"/>
        <v>-1.0922561765784877E-3</v>
      </c>
      <c r="E717" s="5">
        <f t="shared" si="85"/>
        <v>3.2568968857006553E-2</v>
      </c>
      <c r="F717" s="5">
        <f t="shared" si="90"/>
        <v>3.4059074475171647E-2</v>
      </c>
      <c r="G717" s="1">
        <v>64467</v>
      </c>
      <c r="H717" s="2">
        <v>1958.8983034960811</v>
      </c>
      <c r="I717" s="5">
        <f t="shared" si="86"/>
        <v>3.2668968763362116E-2</v>
      </c>
      <c r="J717" s="5">
        <f t="shared" si="91"/>
        <v>3.4159082906295879E-2</v>
      </c>
      <c r="K717" s="7">
        <f t="shared" si="92"/>
        <v>1.0000843112423219E-4</v>
      </c>
      <c r="M717" s="7">
        <f t="shared" si="87"/>
        <v>9.9999906355563439E-5</v>
      </c>
    </row>
    <row r="718" spans="1:13" x14ac:dyDescent="0.25">
      <c r="A718">
        <f t="shared" si="88"/>
        <v>59.583333333333933</v>
      </c>
      <c r="B718" s="1">
        <v>64498</v>
      </c>
      <c r="C718" s="2">
        <v>1955.1942059643422</v>
      </c>
      <c r="D718" s="2">
        <f t="shared" si="89"/>
        <v>3.8689969214493747E-3</v>
      </c>
      <c r="E718" s="5">
        <f t="shared" si="85"/>
        <v>3.2564971603664006E-2</v>
      </c>
      <c r="F718" s="5">
        <f t="shared" si="90"/>
        <v>3.4077653679501774E-2</v>
      </c>
      <c r="G718" s="1">
        <v>64498</v>
      </c>
      <c r="H718" s="2">
        <v>1966.4931450779864</v>
      </c>
      <c r="I718" s="5">
        <f t="shared" si="86"/>
        <v>3.266497150975356E-2</v>
      </c>
      <c r="J718" s="5">
        <f t="shared" si="91"/>
        <v>3.4177664100667693E-2</v>
      </c>
      <c r="K718" s="7">
        <f t="shared" si="92"/>
        <v>1.0001042116591918E-4</v>
      </c>
      <c r="M718" s="7">
        <f t="shared" si="87"/>
        <v>9.9999906089554003E-5</v>
      </c>
    </row>
    <row r="719" spans="1:13" x14ac:dyDescent="0.25">
      <c r="A719">
        <f t="shared" si="88"/>
        <v>59.666666666667268</v>
      </c>
      <c r="B719" s="1">
        <v>64529</v>
      </c>
      <c r="C719" s="2">
        <v>1964.0498341357184</v>
      </c>
      <c r="D719" s="2">
        <f t="shared" si="89"/>
        <v>4.529283149654395E-3</v>
      </c>
      <c r="E719" s="5">
        <f t="shared" si="85"/>
        <v>3.2560974365795303E-2</v>
      </c>
      <c r="F719" s="5">
        <f t="shared" si="90"/>
        <v>3.4107577096522901E-2</v>
      </c>
      <c r="G719" s="1">
        <v>64529</v>
      </c>
      <c r="H719" s="2">
        <v>1975.4158914288707</v>
      </c>
      <c r="I719" s="5">
        <f t="shared" si="86"/>
        <v>3.2660974271617738E-2</v>
      </c>
      <c r="J719" s="5">
        <f t="shared" si="91"/>
        <v>3.4207590604350857E-2</v>
      </c>
      <c r="K719" s="7">
        <f t="shared" si="92"/>
        <v>1.0001350782795626E-4</v>
      </c>
      <c r="M719" s="7">
        <f t="shared" si="87"/>
        <v>9.9999905822434343E-5</v>
      </c>
    </row>
    <row r="720" spans="1:13" x14ac:dyDescent="0.25">
      <c r="A720">
        <f t="shared" si="88"/>
        <v>59.750000000000604</v>
      </c>
      <c r="B720" s="1">
        <v>64559</v>
      </c>
      <c r="C720" s="2">
        <v>1966.4355907043007</v>
      </c>
      <c r="D720" s="2">
        <f t="shared" si="89"/>
        <v>1.2147128484814029E-3</v>
      </c>
      <c r="E720" s="5">
        <f t="shared" ref="E720:E723" si="93">C720/C708-1</f>
        <v>3.2556977143400445E-2</v>
      </c>
      <c r="F720" s="5">
        <f t="shared" si="90"/>
        <v>3.4080216007213338E-2</v>
      </c>
      <c r="G720" s="1">
        <v>64559</v>
      </c>
      <c r="H720" s="2">
        <v>1977.8314160721247</v>
      </c>
      <c r="I720" s="5">
        <f t="shared" ref="I720:I723" si="94">H720/H708-1</f>
        <v>3.2656977048954206E-2</v>
      </c>
      <c r="J720" s="5">
        <f t="shared" si="91"/>
        <v>3.4180227060907065E-2</v>
      </c>
      <c r="K720" s="7">
        <f t="shared" si="92"/>
        <v>1.0001105369372709E-4</v>
      </c>
      <c r="M720" s="7">
        <f t="shared" ref="M720:M723" si="95">I720-E720</f>
        <v>9.9999905553760371E-5</v>
      </c>
    </row>
    <row r="721" spans="1:13" x14ac:dyDescent="0.25">
      <c r="A721">
        <f t="shared" si="88"/>
        <v>59.83333333333394</v>
      </c>
      <c r="B721" s="1">
        <v>64590</v>
      </c>
      <c r="C721" s="2">
        <v>1969.3937078723955</v>
      </c>
      <c r="D721" s="2">
        <f t="shared" si="89"/>
        <v>1.5043041237039478E-3</v>
      </c>
      <c r="E721" s="5">
        <f t="shared" si="93"/>
        <v>3.2552979936479876E-2</v>
      </c>
      <c r="F721" s="5">
        <f t="shared" si="90"/>
        <v>3.4057929851483593E-2</v>
      </c>
      <c r="G721" s="1">
        <v>64590</v>
      </c>
      <c r="H721" s="2">
        <v>1980.8226617462317</v>
      </c>
      <c r="I721" s="5">
        <f t="shared" si="94"/>
        <v>3.2652979841763408E-2</v>
      </c>
      <c r="J721" s="5">
        <f t="shared" si="91"/>
        <v>3.4157938941320687E-2</v>
      </c>
      <c r="K721" s="7">
        <f t="shared" si="92"/>
        <v>1.0000908983709422E-4</v>
      </c>
      <c r="M721" s="7">
        <f t="shared" si="95"/>
        <v>9.9999905283532087E-5</v>
      </c>
    </row>
    <row r="722" spans="1:13" x14ac:dyDescent="0.25">
      <c r="A722">
        <f t="shared" si="88"/>
        <v>59.916666666667275</v>
      </c>
      <c r="B722" s="1">
        <v>64620</v>
      </c>
      <c r="C722" s="2">
        <v>1976.7573866160856</v>
      </c>
      <c r="D722" s="2">
        <f t="shared" si="89"/>
        <v>3.7390587337893244E-3</v>
      </c>
      <c r="E722" s="5">
        <f t="shared" si="93"/>
        <v>3.2548982745032928E-2</v>
      </c>
      <c r="F722" s="5">
        <f t="shared" si="90"/>
        <v>3.4074173217649939E-2</v>
      </c>
      <c r="G722" s="1">
        <v>64620</v>
      </c>
      <c r="H722" s="2">
        <v>1988.2451196396744</v>
      </c>
      <c r="I722" s="5">
        <f t="shared" si="94"/>
        <v>3.2648982650044678E-2</v>
      </c>
      <c r="J722" s="5">
        <f t="shared" si="91"/>
        <v>3.4174184069486024E-2</v>
      </c>
      <c r="K722" s="7">
        <f t="shared" si="92"/>
        <v>1.0001085183608538E-4</v>
      </c>
      <c r="M722" s="7">
        <f t="shared" si="95"/>
        <v>9.999990501174949E-5</v>
      </c>
    </row>
    <row r="723" spans="1:13" x14ac:dyDescent="0.25">
      <c r="A723">
        <f t="shared" si="88"/>
        <v>60.000000000000611</v>
      </c>
      <c r="B723" s="1">
        <v>64651</v>
      </c>
      <c r="C723" s="2">
        <v>1969.1953328118148</v>
      </c>
      <c r="D723" s="2">
        <f t="shared" si="89"/>
        <v>-3.8254840252378575E-3</v>
      </c>
      <c r="E723" s="5">
        <f t="shared" si="93"/>
        <v>3.2544985569062046E-2</v>
      </c>
      <c r="F723" s="5">
        <f t="shared" si="90"/>
        <v>3.3959999999999546E-2</v>
      </c>
      <c r="G723" s="1">
        <v>64651</v>
      </c>
      <c r="H723" s="2">
        <v>1980.6551040629211</v>
      </c>
      <c r="I723" s="5">
        <f t="shared" si="94"/>
        <v>3.2644985473796684E-2</v>
      </c>
      <c r="J723" s="5">
        <f t="shared" si="91"/>
        <v>3.4059999999999757E-2</v>
      </c>
      <c r="K723" s="7">
        <f t="shared" si="92"/>
        <v>1.0000000000021103E-4</v>
      </c>
      <c r="M723" s="7">
        <f t="shared" si="95"/>
        <v>9.9999904734637823E-5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636"/>
  <sheetViews>
    <sheetView tabSelected="1" zoomScale="90" zoomScaleNormal="90" workbookViewId="0">
      <selection activeCell="I3" sqref="I3"/>
    </sheetView>
  </sheetViews>
  <sheetFormatPr defaultRowHeight="15" x14ac:dyDescent="0.25"/>
  <cols>
    <col min="3" max="3" width="20.28515625" customWidth="1"/>
    <col min="4" max="4" width="16.7109375" customWidth="1"/>
    <col min="5" max="5" width="10.7109375" customWidth="1"/>
    <col min="7" max="7" width="14.140625" customWidth="1"/>
    <col min="8" max="8" width="13.28515625" style="34" customWidth="1"/>
    <col min="9" max="9" width="12.7109375" style="40" bestFit="1" customWidth="1"/>
    <col min="10" max="14" width="9.140625" style="11"/>
  </cols>
  <sheetData>
    <row r="1" spans="1:7" x14ac:dyDescent="0.25">
      <c r="A1" s="11"/>
      <c r="B1" s="11"/>
      <c r="C1" s="11"/>
      <c r="D1" s="11"/>
      <c r="E1" s="11"/>
      <c r="F1" s="11"/>
      <c r="G1" s="11"/>
    </row>
    <row r="2" spans="1:7" x14ac:dyDescent="0.25">
      <c r="A2" s="11"/>
      <c r="B2" s="13"/>
      <c r="C2" s="13"/>
      <c r="D2" s="13"/>
      <c r="E2" s="13"/>
      <c r="F2" s="13"/>
      <c r="G2" s="11"/>
    </row>
    <row r="3" spans="1:7" x14ac:dyDescent="0.25">
      <c r="A3" s="11"/>
      <c r="B3" s="20" t="s">
        <v>41</v>
      </c>
      <c r="C3" s="23"/>
      <c r="D3" s="23"/>
      <c r="E3" s="23"/>
      <c r="F3" s="26"/>
      <c r="G3" s="11"/>
    </row>
    <row r="4" spans="1:7" x14ac:dyDescent="0.25">
      <c r="A4" s="11"/>
      <c r="B4" s="21" t="s">
        <v>12</v>
      </c>
      <c r="C4" s="24"/>
      <c r="D4" s="19" t="s">
        <v>13</v>
      </c>
      <c r="E4" s="19" t="s">
        <v>14</v>
      </c>
      <c r="F4" s="14"/>
      <c r="G4" s="11"/>
    </row>
    <row r="5" spans="1:7" x14ac:dyDescent="0.25">
      <c r="A5" s="11"/>
      <c r="B5" s="22">
        <v>1</v>
      </c>
      <c r="C5" s="25" t="s">
        <v>15</v>
      </c>
      <c r="D5" s="8">
        <f>_xll.BDP(C5,"PX_LAST")</f>
        <v>3.8325</v>
      </c>
      <c r="E5" s="27">
        <f>+D5</f>
        <v>3.8325</v>
      </c>
      <c r="F5" s="28"/>
      <c r="G5" s="11"/>
    </row>
    <row r="6" spans="1:7" x14ac:dyDescent="0.25">
      <c r="A6" s="11"/>
      <c r="B6" s="22">
        <v>2</v>
      </c>
      <c r="C6" s="25" t="s">
        <v>16</v>
      </c>
      <c r="D6" s="8">
        <f>_xll.BDP(C6,"PX_LAST")</f>
        <v>3.677</v>
      </c>
      <c r="E6" s="27">
        <f t="shared" ref="E6:E21" si="0">+D6</f>
        <v>3.677</v>
      </c>
      <c r="F6" s="28"/>
      <c r="G6" s="11"/>
    </row>
    <row r="7" spans="1:7" x14ac:dyDescent="0.25">
      <c r="A7" s="11"/>
      <c r="B7" s="22">
        <v>3</v>
      </c>
      <c r="C7" s="25" t="s">
        <v>17</v>
      </c>
      <c r="D7" s="8">
        <f>_xll.BDP(C7,"PX_LAST")</f>
        <v>3.617</v>
      </c>
      <c r="E7" s="27">
        <f t="shared" si="0"/>
        <v>3.617</v>
      </c>
      <c r="F7" s="28"/>
      <c r="G7" s="11"/>
    </row>
    <row r="8" spans="1:7" x14ac:dyDescent="0.25">
      <c r="A8" s="11"/>
      <c r="B8" s="22">
        <v>4</v>
      </c>
      <c r="C8" s="25" t="s">
        <v>18</v>
      </c>
      <c r="D8" s="8">
        <f>_xll.BDP(C8,"PX_LAST")</f>
        <v>3.5840000000000001</v>
      </c>
      <c r="E8" s="27">
        <f t="shared" si="0"/>
        <v>3.5840000000000001</v>
      </c>
      <c r="F8" s="28"/>
      <c r="G8" s="11"/>
    </row>
    <row r="9" spans="1:7" x14ac:dyDescent="0.25">
      <c r="A9" s="11"/>
      <c r="B9" s="22">
        <v>5</v>
      </c>
      <c r="C9" s="25" t="s">
        <v>19</v>
      </c>
      <c r="D9" s="8">
        <f>_xll.BDP(C9,"PX_LAST")</f>
        <v>3.5550000000000002</v>
      </c>
      <c r="E9" s="27">
        <f t="shared" si="0"/>
        <v>3.5550000000000002</v>
      </c>
      <c r="F9" s="28"/>
      <c r="G9" s="11"/>
    </row>
    <row r="10" spans="1:7" x14ac:dyDescent="0.25">
      <c r="A10" s="11"/>
      <c r="B10" s="22">
        <v>6</v>
      </c>
      <c r="C10" s="25" t="s">
        <v>20</v>
      </c>
      <c r="D10" s="8">
        <f>_xll.BDP(C10,"PX_LAST")</f>
        <v>3.5470000000000002</v>
      </c>
      <c r="E10" s="27">
        <f t="shared" si="0"/>
        <v>3.5470000000000002</v>
      </c>
      <c r="F10" s="28"/>
      <c r="G10" s="11"/>
    </row>
    <row r="11" spans="1:7" x14ac:dyDescent="0.25">
      <c r="A11" s="11"/>
      <c r="B11" s="22">
        <v>7</v>
      </c>
      <c r="C11" s="25" t="s">
        <v>21</v>
      </c>
      <c r="D11" s="8">
        <f>_xll.BDP(C11,"PX_LAST")</f>
        <v>3.528</v>
      </c>
      <c r="E11" s="27">
        <f t="shared" si="0"/>
        <v>3.528</v>
      </c>
      <c r="F11" s="28"/>
      <c r="G11" s="11"/>
    </row>
    <row r="12" spans="1:7" x14ac:dyDescent="0.25">
      <c r="A12" s="11"/>
      <c r="B12" s="22">
        <v>8</v>
      </c>
      <c r="C12" s="25" t="s">
        <v>22</v>
      </c>
      <c r="D12" s="8">
        <f>_xll.BDP(C12,"PX_LAST")</f>
        <v>3.5310000000000001</v>
      </c>
      <c r="E12" s="27">
        <f t="shared" si="0"/>
        <v>3.5310000000000001</v>
      </c>
      <c r="F12" s="28"/>
      <c r="G12" s="11"/>
    </row>
    <row r="13" spans="1:7" x14ac:dyDescent="0.25">
      <c r="A13" s="11"/>
      <c r="B13" s="22">
        <v>9</v>
      </c>
      <c r="C13" s="25" t="s">
        <v>23</v>
      </c>
      <c r="D13" s="8">
        <f>_xll.BDP(C13,"PX_LAST")</f>
        <v>3.5379999999999998</v>
      </c>
      <c r="E13" s="27">
        <f t="shared" si="0"/>
        <v>3.5379999999999998</v>
      </c>
      <c r="F13" s="28"/>
      <c r="G13" s="11"/>
    </row>
    <row r="14" spans="1:7" x14ac:dyDescent="0.25">
      <c r="A14" s="11"/>
      <c r="B14" s="22">
        <v>10</v>
      </c>
      <c r="C14" s="25" t="s">
        <v>24</v>
      </c>
      <c r="D14" s="8">
        <f>_xll.BDP(C14,"PX_LAST")</f>
        <v>3.5419999999999998</v>
      </c>
      <c r="E14" s="27">
        <f t="shared" si="0"/>
        <v>3.5419999999999998</v>
      </c>
      <c r="F14" s="28"/>
      <c r="G14" s="11"/>
    </row>
    <row r="15" spans="1:7" x14ac:dyDescent="0.25">
      <c r="A15" s="11"/>
      <c r="B15" s="22">
        <v>12</v>
      </c>
      <c r="C15" s="25" t="s">
        <v>25</v>
      </c>
      <c r="D15" s="8">
        <f>_xll.BDP(C15,"PX_LAST")</f>
        <v>3.5619999999999998</v>
      </c>
      <c r="E15" s="27">
        <f t="shared" si="0"/>
        <v>3.5619999999999998</v>
      </c>
      <c r="F15" s="28"/>
      <c r="G15" s="11"/>
    </row>
    <row r="16" spans="1:7" x14ac:dyDescent="0.25">
      <c r="A16" s="11"/>
      <c r="B16" s="22">
        <v>15</v>
      </c>
      <c r="C16" s="25" t="s">
        <v>26</v>
      </c>
      <c r="D16" s="8">
        <f>_xll.BDP(C16,"PX_LAST")</f>
        <v>3.6230000000000002</v>
      </c>
      <c r="E16" s="27">
        <f t="shared" si="0"/>
        <v>3.6230000000000002</v>
      </c>
      <c r="F16" s="28"/>
      <c r="G16" s="11"/>
    </row>
    <row r="17" spans="1:9" x14ac:dyDescent="0.25">
      <c r="A17" s="11"/>
      <c r="B17" s="22">
        <v>20</v>
      </c>
      <c r="C17" s="25" t="s">
        <v>27</v>
      </c>
      <c r="D17" s="8">
        <f>_xll.BDP(C17,"PX_LAST")</f>
        <v>3.64</v>
      </c>
      <c r="E17" s="27">
        <f t="shared" si="0"/>
        <v>3.64</v>
      </c>
      <c r="F17" s="28"/>
      <c r="G17" s="11"/>
    </row>
    <row r="18" spans="1:9" x14ac:dyDescent="0.25">
      <c r="A18" s="11"/>
      <c r="B18" s="22">
        <v>25</v>
      </c>
      <c r="C18" s="25" t="s">
        <v>28</v>
      </c>
      <c r="D18" s="8">
        <f>_xll.BDP(C18,"PX_LAST")</f>
        <v>3.633</v>
      </c>
      <c r="E18" s="27">
        <f t="shared" si="0"/>
        <v>3.633</v>
      </c>
      <c r="F18" s="28"/>
      <c r="G18" s="11"/>
    </row>
    <row r="19" spans="1:9" x14ac:dyDescent="0.25">
      <c r="A19" s="11"/>
      <c r="B19" s="22">
        <v>30</v>
      </c>
      <c r="C19" s="25" t="s">
        <v>29</v>
      </c>
      <c r="D19" s="8">
        <f>_xll.BDP(C19,"PX_LAST")</f>
        <v>3.5630000000000002</v>
      </c>
      <c r="E19" s="27">
        <f t="shared" si="0"/>
        <v>3.5630000000000002</v>
      </c>
      <c r="F19" s="28"/>
      <c r="G19" s="11"/>
    </row>
    <row r="20" spans="1:9" x14ac:dyDescent="0.25">
      <c r="A20" s="11"/>
      <c r="B20" s="22">
        <v>40</v>
      </c>
      <c r="C20" s="25" t="s">
        <v>30</v>
      </c>
      <c r="D20" s="8">
        <f>_xll.BDP(C20,"PX_LAST")</f>
        <v>3.4580000000000002</v>
      </c>
      <c r="E20" s="27">
        <f t="shared" si="0"/>
        <v>3.4580000000000002</v>
      </c>
      <c r="F20" s="28"/>
      <c r="G20" s="11"/>
    </row>
    <row r="21" spans="1:9" x14ac:dyDescent="0.25">
      <c r="A21" s="11"/>
      <c r="B21" s="22">
        <v>50</v>
      </c>
      <c r="C21" s="25" t="s">
        <v>31</v>
      </c>
      <c r="D21" s="8">
        <f>_xll.BDP(C21,"PX_LAST")</f>
        <v>3.4710000000000001</v>
      </c>
      <c r="E21" s="27">
        <f t="shared" si="0"/>
        <v>3.4710000000000001</v>
      </c>
      <c r="F21" s="28"/>
      <c r="G21" s="11"/>
    </row>
    <row r="22" spans="1:9" x14ac:dyDescent="0.25">
      <c r="A22" s="11"/>
      <c r="B22" s="12"/>
      <c r="C22" s="13"/>
      <c r="D22" s="13"/>
      <c r="E22" s="13"/>
      <c r="F22" s="14"/>
      <c r="G22" s="11"/>
    </row>
    <row r="23" spans="1:9" x14ac:dyDescent="0.25">
      <c r="A23" s="11"/>
      <c r="B23" s="12" t="s">
        <v>32</v>
      </c>
      <c r="C23" s="9">
        <v>42766</v>
      </c>
      <c r="D23" s="10">
        <v>265.5</v>
      </c>
      <c r="E23" s="13"/>
      <c r="F23" s="14"/>
      <c r="G23" s="11"/>
    </row>
    <row r="24" spans="1:9" x14ac:dyDescent="0.25">
      <c r="A24" s="11"/>
      <c r="B24" s="12" t="s">
        <v>33</v>
      </c>
      <c r="C24" s="10">
        <v>1</v>
      </c>
      <c r="D24" s="13"/>
      <c r="E24" s="13"/>
      <c r="F24" s="14"/>
      <c r="G24" s="11"/>
    </row>
    <row r="25" spans="1:9" x14ac:dyDescent="0.25">
      <c r="A25" s="11"/>
      <c r="B25" s="12"/>
      <c r="C25" s="13"/>
      <c r="D25" s="13"/>
      <c r="E25" s="13"/>
      <c r="F25" s="13"/>
      <c r="G25" s="35"/>
      <c r="H25" s="36"/>
      <c r="I25" s="41"/>
    </row>
    <row r="26" spans="1:9" ht="22.5" x14ac:dyDescent="0.25">
      <c r="A26" s="11"/>
      <c r="B26" s="29" t="s">
        <v>34</v>
      </c>
      <c r="C26" s="30" t="s">
        <v>35</v>
      </c>
      <c r="D26" s="31" t="s">
        <v>36</v>
      </c>
      <c r="E26" s="31" t="s">
        <v>37</v>
      </c>
      <c r="F26" s="31" t="s">
        <v>38</v>
      </c>
      <c r="G26" s="31" t="s">
        <v>3</v>
      </c>
      <c r="H26" s="31" t="s">
        <v>39</v>
      </c>
      <c r="I26" s="32" t="s">
        <v>40</v>
      </c>
    </row>
    <row r="27" spans="1:9" x14ac:dyDescent="0.25">
      <c r="A27" s="11"/>
      <c r="B27" s="33">
        <v>0</v>
      </c>
      <c r="C27" s="17">
        <f t="shared" ref="C27:C30" si="1">dcf30E360($C$23,D27,0)</f>
        <v>0</v>
      </c>
      <c r="D27" s="16">
        <f>C23</f>
        <v>42766</v>
      </c>
      <c r="E27" s="19">
        <f t="shared" ref="E27:E29" si="2">cubic_spline($B$5:$B$21,$E$5:$E$21,C27)</f>
        <v>3.9879999160766602</v>
      </c>
      <c r="F27" s="13">
        <f>D23</f>
        <v>265.5</v>
      </c>
      <c r="G27" s="37">
        <v>0</v>
      </c>
      <c r="H27" s="36">
        <f t="shared" ref="H27:H30" si="3">G27+0.01%</f>
        <v>1E-4</v>
      </c>
      <c r="I27" s="41">
        <f>$F$27*(1+H27)^C27</f>
        <v>265.5</v>
      </c>
    </row>
    <row r="28" spans="1:9" x14ac:dyDescent="0.25">
      <c r="A28" s="11"/>
      <c r="B28" s="33">
        <v>0.25</v>
      </c>
      <c r="C28" s="17">
        <f t="shared" si="1"/>
        <v>0.16666666666666666</v>
      </c>
      <c r="D28" s="16">
        <f t="shared" ref="D27:D29" si="4">EOMONTH(DATE(YEAR($C$23)+B28,B28*12,1),0)</f>
        <v>42825</v>
      </c>
      <c r="E28" s="19">
        <f t="shared" si="2"/>
        <v>3.96809154699476</v>
      </c>
      <c r="F28" s="38">
        <f t="shared" ref="F28:F30" si="5">$D$23*(1+E28/100)^C28</f>
        <v>267.22753406930588</v>
      </c>
      <c r="G28" s="37">
        <f t="shared" ref="G28:G80" si="6">(F28/$F$27)^(1/C28)-1</f>
        <v>3.9680915469947342E-2</v>
      </c>
      <c r="H28" s="36">
        <f t="shared" si="3"/>
        <v>3.9780915469947345E-2</v>
      </c>
      <c r="I28" s="41">
        <f>$F$27*(1+H28)^C28</f>
        <v>267.23181770449315</v>
      </c>
    </row>
    <row r="29" spans="1:9" x14ac:dyDescent="0.25">
      <c r="A29" s="11"/>
      <c r="B29" s="33">
        <v>0.5</v>
      </c>
      <c r="C29" s="17">
        <f t="shared" si="1"/>
        <v>0.41666666666666669</v>
      </c>
      <c r="D29" s="16">
        <f t="shared" si="4"/>
        <v>42916</v>
      </c>
      <c r="E29" s="19">
        <f t="shared" si="2"/>
        <v>3.9322893808489483</v>
      </c>
      <c r="F29" s="38">
        <f t="shared" si="5"/>
        <v>269.80121298458977</v>
      </c>
      <c r="G29" s="37">
        <f t="shared" si="6"/>
        <v>3.9322893808489745E-2</v>
      </c>
      <c r="H29" s="36">
        <f t="shared" si="3"/>
        <v>3.9422893808489748E-2</v>
      </c>
      <c r="I29" s="41">
        <f t="shared" ref="I29:I80" si="7">$F$27*(1+H29)^C29</f>
        <v>269.81202906668778</v>
      </c>
    </row>
    <row r="30" spans="1:9" x14ac:dyDescent="0.25">
      <c r="A30" s="11"/>
      <c r="B30" s="33">
        <v>0.75</v>
      </c>
      <c r="C30" s="17">
        <f>dcf30E360($C$23,D30,0)</f>
        <v>0.66666666666666663</v>
      </c>
      <c r="D30" s="16">
        <f>EOMONTH(DATE(YEAR($C$23)+B30,B30*12,1),0)</f>
        <v>43008</v>
      </c>
      <c r="E30" s="19">
        <f t="shared" ref="E30:E31" si="8">cubic_spline($B$5:$B$21,$E$5:$E$21,C30)</f>
        <v>3.8913250050426997</v>
      </c>
      <c r="F30" s="38">
        <f t="shared" si="5"/>
        <v>272.34373061407246</v>
      </c>
      <c r="G30" s="37">
        <f t="shared" si="6"/>
        <v>3.8913250050427006E-2</v>
      </c>
      <c r="H30" s="36">
        <f t="shared" si="3"/>
        <v>3.9013250050427009E-2</v>
      </c>
      <c r="I30" s="41">
        <f t="shared" si="7"/>
        <v>272.36120652695479</v>
      </c>
    </row>
    <row r="31" spans="1:9" x14ac:dyDescent="0.25">
      <c r="A31" s="11"/>
      <c r="B31" s="15">
        <v>1</v>
      </c>
      <c r="C31" s="17">
        <f>dcf30E360($C$23,D31,0)</f>
        <v>1</v>
      </c>
      <c r="D31" s="16">
        <f>EOMONTH(DATE(YEAR($C$23)+B31,$C$24,1),0)</f>
        <v>43131</v>
      </c>
      <c r="E31" s="18">
        <f>E5</f>
        <v>3.8325</v>
      </c>
      <c r="F31" s="38">
        <f>$D$23*(1+E31/100)^C31</f>
        <v>275.67528749999997</v>
      </c>
      <c r="G31" s="37">
        <f t="shared" si="6"/>
        <v>3.8324999999999942E-2</v>
      </c>
      <c r="H31" s="36">
        <f>G31+0.01%</f>
        <v>3.8424999999999945E-2</v>
      </c>
      <c r="I31" s="41">
        <f t="shared" si="7"/>
        <v>275.70183749999995</v>
      </c>
    </row>
    <row r="32" spans="1:9" x14ac:dyDescent="0.25">
      <c r="A32" s="11"/>
      <c r="B32" s="15">
        <v>2</v>
      </c>
      <c r="C32" s="17">
        <f t="shared" ref="C32:C80" si="9">dcf30E360($C$23,D32,0)</f>
        <v>2</v>
      </c>
      <c r="D32" s="16">
        <f t="shared" ref="D32:D80" si="10">EOMONTH(DATE(YEAR($C$23)+B32,$C$24,1),0)</f>
        <v>43496</v>
      </c>
      <c r="E32" s="19">
        <f>cubic_spline($B$5:$B$21,$E$5:$E$21,C32)</f>
        <v>3.6770000457763672</v>
      </c>
      <c r="F32" s="38">
        <f t="shared" ref="F32:F80" si="11">$D$23*(1+E32/100)^C32</f>
        <v>285.38383498696027</v>
      </c>
      <c r="G32" s="37">
        <f t="shared" si="6"/>
        <v>3.6770000457763574E-2</v>
      </c>
      <c r="H32" s="36">
        <f t="shared" ref="H32:H80" si="12">G32+0.01%</f>
        <v>3.6870000457763577E-2</v>
      </c>
      <c r="I32" s="41">
        <f t="shared" si="7"/>
        <v>285.43889012898455</v>
      </c>
    </row>
    <row r="33" spans="1:9" x14ac:dyDescent="0.25">
      <c r="A33" s="11"/>
      <c r="B33" s="15">
        <v>3</v>
      </c>
      <c r="C33" s="17">
        <f t="shared" si="9"/>
        <v>3</v>
      </c>
      <c r="D33" s="16">
        <f t="shared" si="10"/>
        <v>43861</v>
      </c>
      <c r="E33" s="19">
        <f>cubic_spline($B$5:$B$21,$E$5:$E$21,C33)</f>
        <v>3.6170001029968262</v>
      </c>
      <c r="F33" s="38">
        <f t="shared" si="11"/>
        <v>295.36400554250162</v>
      </c>
      <c r="G33" s="37">
        <f t="shared" si="6"/>
        <v>3.6170001029968368E-2</v>
      </c>
      <c r="H33" s="36">
        <f t="shared" si="12"/>
        <v>3.6270001029968371E-2</v>
      </c>
      <c r="I33" s="41">
        <f t="shared" si="7"/>
        <v>295.4495298806491</v>
      </c>
    </row>
    <row r="34" spans="1:9" x14ac:dyDescent="0.25">
      <c r="A34" s="11"/>
      <c r="B34" s="15">
        <v>4</v>
      </c>
      <c r="C34" s="17">
        <f t="shared" si="9"/>
        <v>4</v>
      </c>
      <c r="D34" s="16">
        <f t="shared" si="10"/>
        <v>44227</v>
      </c>
      <c r="E34" s="19">
        <f t="shared" ref="E34:E80" si="13">cubic_spline($B$5:$B$21,$E$5:$E$21,C34)</f>
        <v>3.5840001106262207</v>
      </c>
      <c r="F34" s="38">
        <f t="shared" si="11"/>
        <v>305.65762774441549</v>
      </c>
      <c r="G34" s="37">
        <f t="shared" si="6"/>
        <v>3.5840001106262287E-2</v>
      </c>
      <c r="H34" s="36">
        <f t="shared" si="12"/>
        <v>3.594000110626229E-2</v>
      </c>
      <c r="I34" s="41">
        <f t="shared" si="7"/>
        <v>305.77567759479791</v>
      </c>
    </row>
    <row r="35" spans="1:9" x14ac:dyDescent="0.25">
      <c r="A35" s="11"/>
      <c r="B35" s="15">
        <v>5</v>
      </c>
      <c r="C35" s="17">
        <f t="shared" si="9"/>
        <v>5</v>
      </c>
      <c r="D35" s="16">
        <f t="shared" si="10"/>
        <v>44592</v>
      </c>
      <c r="E35" s="19">
        <f t="shared" si="13"/>
        <v>3.5550000667572021</v>
      </c>
      <c r="F35" s="38">
        <f t="shared" si="11"/>
        <v>316.16944132539243</v>
      </c>
      <c r="G35" s="37">
        <f t="shared" si="6"/>
        <v>3.5550000667571968E-2</v>
      </c>
      <c r="H35" s="36">
        <f t="shared" si="12"/>
        <v>3.5650000667571971E-2</v>
      </c>
      <c r="I35" s="41">
        <f t="shared" si="7"/>
        <v>316.32212854962785</v>
      </c>
    </row>
    <row r="36" spans="1:9" x14ac:dyDescent="0.25">
      <c r="A36" s="11"/>
      <c r="B36" s="15">
        <v>6</v>
      </c>
      <c r="C36" s="17">
        <f t="shared" si="9"/>
        <v>6</v>
      </c>
      <c r="D36" s="16">
        <f t="shared" si="10"/>
        <v>44957</v>
      </c>
      <c r="E36" s="19">
        <f t="shared" si="13"/>
        <v>3.5469999313354492</v>
      </c>
      <c r="F36" s="38">
        <f t="shared" si="11"/>
        <v>327.2575305830257</v>
      </c>
      <c r="G36" s="37">
        <f t="shared" si="6"/>
        <v>3.5469999313354483E-2</v>
      </c>
      <c r="H36" s="36">
        <f>G36+0.01%</f>
        <v>3.5569999313354486E-2</v>
      </c>
      <c r="I36" s="41">
        <f t="shared" si="7"/>
        <v>327.44720477125389</v>
      </c>
    </row>
    <row r="37" spans="1:9" x14ac:dyDescent="0.25">
      <c r="A37" s="11"/>
      <c r="B37" s="15">
        <v>7</v>
      </c>
      <c r="C37" s="17">
        <f t="shared" si="9"/>
        <v>7</v>
      </c>
      <c r="D37" s="16">
        <f t="shared" si="10"/>
        <v>45322</v>
      </c>
      <c r="E37" s="19">
        <f t="shared" si="13"/>
        <v>3.5280001163482666</v>
      </c>
      <c r="F37" s="38">
        <f t="shared" si="11"/>
        <v>338.43034620825779</v>
      </c>
      <c r="G37" s="37">
        <f t="shared" si="6"/>
        <v>3.5280001163482622E-2</v>
      </c>
      <c r="H37" s="36">
        <f>G37+0.01%</f>
        <v>3.5380001163482624E-2</v>
      </c>
      <c r="I37" s="41">
        <f t="shared" si="7"/>
        <v>338.65924071176136</v>
      </c>
    </row>
    <row r="38" spans="1:9" x14ac:dyDescent="0.25">
      <c r="A38" s="11"/>
      <c r="B38" s="15">
        <v>8</v>
      </c>
      <c r="C38" s="17">
        <f t="shared" si="9"/>
        <v>8</v>
      </c>
      <c r="D38" s="16">
        <f t="shared" si="10"/>
        <v>45688</v>
      </c>
      <c r="E38" s="19">
        <f t="shared" si="13"/>
        <v>3.5309998989105225</v>
      </c>
      <c r="F38" s="38">
        <f t="shared" si="11"/>
        <v>350.45139484942854</v>
      </c>
      <c r="G38" s="37">
        <f t="shared" si="6"/>
        <v>3.5309998989105251E-2</v>
      </c>
      <c r="H38" s="36">
        <f t="shared" si="12"/>
        <v>3.5409998989105254E-2</v>
      </c>
      <c r="I38" s="41">
        <f t="shared" si="7"/>
        <v>350.72228561082716</v>
      </c>
    </row>
    <row r="39" spans="1:9" x14ac:dyDescent="0.25">
      <c r="A39" s="11"/>
      <c r="B39" s="15">
        <v>9</v>
      </c>
      <c r="C39" s="17">
        <f t="shared" si="9"/>
        <v>9</v>
      </c>
      <c r="D39" s="16">
        <f t="shared" si="10"/>
        <v>46053</v>
      </c>
      <c r="E39" s="19">
        <f t="shared" si="13"/>
        <v>3.5380001068115234</v>
      </c>
      <c r="F39" s="38">
        <f t="shared" si="11"/>
        <v>363.046683907567</v>
      </c>
      <c r="G39" s="37">
        <f t="shared" si="6"/>
        <v>3.5380001068115341E-2</v>
      </c>
      <c r="H39" s="36">
        <f t="shared" si="12"/>
        <v>3.5480001068115344E-2</v>
      </c>
      <c r="I39" s="41">
        <f t="shared" si="7"/>
        <v>363.36238275667819</v>
      </c>
    </row>
    <row r="40" spans="1:9" x14ac:dyDescent="0.25">
      <c r="A40" s="11"/>
      <c r="B40" s="15">
        <v>10</v>
      </c>
      <c r="C40" s="17">
        <f t="shared" si="9"/>
        <v>10</v>
      </c>
      <c r="D40" s="16">
        <f t="shared" si="10"/>
        <v>46418</v>
      </c>
      <c r="E40" s="19">
        <f t="shared" si="13"/>
        <v>3.5420000553131104</v>
      </c>
      <c r="F40" s="38">
        <f t="shared" si="11"/>
        <v>376.03651802402561</v>
      </c>
      <c r="G40" s="37">
        <f t="shared" si="6"/>
        <v>3.5420000553131104E-2</v>
      </c>
      <c r="H40" s="36">
        <f t="shared" si="12"/>
        <v>3.5520000553131106E-2</v>
      </c>
      <c r="I40" s="41">
        <f t="shared" si="7"/>
        <v>376.39984883445976</v>
      </c>
    </row>
    <row r="41" spans="1:9" x14ac:dyDescent="0.25">
      <c r="A41" s="11"/>
      <c r="B41" s="15">
        <v>11</v>
      </c>
      <c r="C41" s="17">
        <f t="shared" si="9"/>
        <v>11</v>
      </c>
      <c r="D41" s="16">
        <f t="shared" si="10"/>
        <v>46783</v>
      </c>
      <c r="E41" s="19">
        <f t="shared" si="13"/>
        <v>3.548993551521562</v>
      </c>
      <c r="F41" s="38">
        <f t="shared" si="11"/>
        <v>389.64510850948238</v>
      </c>
      <c r="G41" s="37">
        <f t="shared" si="6"/>
        <v>3.548993551521562E-2</v>
      </c>
      <c r="H41" s="36">
        <f t="shared" si="12"/>
        <v>3.5589935515215623E-2</v>
      </c>
      <c r="I41" s="41">
        <f t="shared" si="7"/>
        <v>390.0592280720619</v>
      </c>
    </row>
    <row r="42" spans="1:9" x14ac:dyDescent="0.25">
      <c r="A42" s="11"/>
      <c r="B42" s="15">
        <v>12</v>
      </c>
      <c r="C42" s="17">
        <f t="shared" si="9"/>
        <v>12</v>
      </c>
      <c r="D42" s="16">
        <f t="shared" si="10"/>
        <v>47149</v>
      </c>
      <c r="E42" s="19">
        <f t="shared" si="13"/>
        <v>3.562000036239624</v>
      </c>
      <c r="F42" s="38">
        <f t="shared" si="11"/>
        <v>404.08215817151944</v>
      </c>
      <c r="G42" s="37">
        <f t="shared" si="6"/>
        <v>3.562000036239632E-2</v>
      </c>
      <c r="H42" s="36">
        <f t="shared" si="12"/>
        <v>3.5720000362396323E-2</v>
      </c>
      <c r="I42" s="41">
        <f t="shared" si="7"/>
        <v>404.55062748831284</v>
      </c>
    </row>
    <row r="43" spans="1:9" x14ac:dyDescent="0.25">
      <c r="A43" s="11"/>
      <c r="B43" s="15">
        <v>13</v>
      </c>
      <c r="C43" s="17">
        <f t="shared" si="9"/>
        <v>13</v>
      </c>
      <c r="D43" s="16">
        <f t="shared" si="10"/>
        <v>47514</v>
      </c>
      <c r="E43" s="19">
        <f t="shared" si="13"/>
        <v>3.5816770300224743</v>
      </c>
      <c r="F43" s="38">
        <f t="shared" si="11"/>
        <v>419.51038985728883</v>
      </c>
      <c r="G43" s="37">
        <f t="shared" si="6"/>
        <v>3.5816770300224787E-2</v>
      </c>
      <c r="H43" s="36">
        <f t="shared" si="12"/>
        <v>3.591677030022479E-2</v>
      </c>
      <c r="I43" s="41">
        <f t="shared" si="7"/>
        <v>420.03720071590402</v>
      </c>
    </row>
    <row r="44" spans="1:9" x14ac:dyDescent="0.25">
      <c r="A44" s="11"/>
      <c r="B44" s="15">
        <v>14</v>
      </c>
      <c r="C44" s="17">
        <f t="shared" si="9"/>
        <v>14</v>
      </c>
      <c r="D44" s="16">
        <f t="shared" si="10"/>
        <v>47879</v>
      </c>
      <c r="E44" s="19">
        <f t="shared" si="13"/>
        <v>3.6038178836971202</v>
      </c>
      <c r="F44" s="38">
        <f t="shared" si="11"/>
        <v>435.83806993302477</v>
      </c>
      <c r="G44" s="37">
        <f t="shared" si="6"/>
        <v>3.6038178836971246E-2</v>
      </c>
      <c r="H44" s="36">
        <f t="shared" si="12"/>
        <v>3.6138178836971249E-2</v>
      </c>
      <c r="I44" s="41">
        <f t="shared" si="7"/>
        <v>436.42738823697061</v>
      </c>
    </row>
    <row r="45" spans="1:9" x14ac:dyDescent="0.25">
      <c r="A45" s="11"/>
      <c r="B45" s="15">
        <v>15</v>
      </c>
      <c r="C45" s="17">
        <f t="shared" si="9"/>
        <v>15</v>
      </c>
      <c r="D45" s="16">
        <f t="shared" si="10"/>
        <v>48244</v>
      </c>
      <c r="E45" s="19">
        <f t="shared" si="13"/>
        <v>3.622999906539917</v>
      </c>
      <c r="F45" s="38">
        <f t="shared" si="11"/>
        <v>452.8005451953598</v>
      </c>
      <c r="G45" s="37">
        <f t="shared" si="6"/>
        <v>3.6229999065399143E-2</v>
      </c>
      <c r="H45" s="36">
        <f t="shared" si="12"/>
        <v>3.6329999065399146E-2</v>
      </c>
      <c r="I45" s="41">
        <f t="shared" si="7"/>
        <v>453.45644188619235</v>
      </c>
    </row>
    <row r="46" spans="1:9" x14ac:dyDescent="0.25">
      <c r="A46" s="11"/>
      <c r="B46" s="15">
        <v>16</v>
      </c>
      <c r="C46" s="17">
        <f t="shared" si="9"/>
        <v>16</v>
      </c>
      <c r="D46" s="16">
        <f t="shared" si="10"/>
        <v>48610</v>
      </c>
      <c r="E46" s="19">
        <f t="shared" si="13"/>
        <v>3.6350426846079031</v>
      </c>
      <c r="F46" s="38">
        <f t="shared" si="11"/>
        <v>470.07874564896213</v>
      </c>
      <c r="G46" s="37">
        <f t="shared" si="6"/>
        <v>3.6350426846079031E-2</v>
      </c>
      <c r="H46" s="36">
        <f t="shared" si="12"/>
        <v>3.6450426846079034E-2</v>
      </c>
      <c r="I46" s="41">
        <f t="shared" si="7"/>
        <v>470.80501596000948</v>
      </c>
    </row>
    <row r="47" spans="1:9" x14ac:dyDescent="0.25">
      <c r="A47" s="11"/>
      <c r="B47" s="15">
        <v>17</v>
      </c>
      <c r="C47" s="17">
        <f t="shared" si="9"/>
        <v>17</v>
      </c>
      <c r="D47" s="16">
        <f t="shared" si="10"/>
        <v>48975</v>
      </c>
      <c r="E47" s="19">
        <f t="shared" si="13"/>
        <v>3.6407338148946669</v>
      </c>
      <c r="F47" s="38">
        <f t="shared" si="11"/>
        <v>487.62130605720711</v>
      </c>
      <c r="G47" s="37">
        <f t="shared" si="6"/>
        <v>3.64073381489467E-2</v>
      </c>
      <c r="H47" s="36">
        <f t="shared" si="12"/>
        <v>3.6507338148946702E-2</v>
      </c>
      <c r="I47" s="41">
        <f t="shared" si="7"/>
        <v>488.42176005594689</v>
      </c>
    </row>
    <row r="48" spans="1:9" x14ac:dyDescent="0.25">
      <c r="A48" s="11"/>
      <c r="B48" s="15">
        <v>18</v>
      </c>
      <c r="C48" s="17">
        <f t="shared" si="9"/>
        <v>18</v>
      </c>
      <c r="D48" s="16">
        <f t="shared" si="10"/>
        <v>49340</v>
      </c>
      <c r="E48" s="19">
        <f t="shared" si="13"/>
        <v>3.6421037663856741</v>
      </c>
      <c r="F48" s="38">
        <f t="shared" si="11"/>
        <v>505.49455650272358</v>
      </c>
      <c r="G48" s="37">
        <f t="shared" si="6"/>
        <v>3.6421037663856737E-2</v>
      </c>
      <c r="H48" s="36">
        <f t="shared" si="12"/>
        <v>3.652103766385674E-2</v>
      </c>
      <c r="I48" s="41">
        <f t="shared" si="7"/>
        <v>506.37319248271331</v>
      </c>
    </row>
    <row r="49" spans="1:9" x14ac:dyDescent="0.25">
      <c r="A49" s="11"/>
      <c r="B49" s="15">
        <v>19</v>
      </c>
      <c r="C49" s="17">
        <f t="shared" si="9"/>
        <v>19</v>
      </c>
      <c r="D49" s="16">
        <f t="shared" si="10"/>
        <v>49705</v>
      </c>
      <c r="E49" s="19">
        <f t="shared" si="13"/>
        <v>3.6411824724155886</v>
      </c>
      <c r="F49" s="38">
        <f t="shared" si="11"/>
        <v>523.81671513614651</v>
      </c>
      <c r="G49" s="37">
        <f t="shared" si="6"/>
        <v>3.6411824724155828E-2</v>
      </c>
      <c r="H49" s="36">
        <f t="shared" si="12"/>
        <v>3.6511824724155831E-2</v>
      </c>
      <c r="I49" s="41">
        <f t="shared" si="7"/>
        <v>524.77783547953891</v>
      </c>
    </row>
    <row r="50" spans="1:9" x14ac:dyDescent="0.25">
      <c r="A50" s="11"/>
      <c r="B50" s="15">
        <v>20</v>
      </c>
      <c r="C50" s="17">
        <f t="shared" si="9"/>
        <v>20</v>
      </c>
      <c r="D50" s="16">
        <f t="shared" si="10"/>
        <v>50071</v>
      </c>
      <c r="E50" s="19">
        <f t="shared" si="13"/>
        <v>3.6400001049041748</v>
      </c>
      <c r="F50" s="38">
        <f t="shared" si="11"/>
        <v>542.76598220589619</v>
      </c>
      <c r="G50" s="37">
        <f t="shared" si="6"/>
        <v>3.640000104904173E-2</v>
      </c>
      <c r="H50" s="36">
        <f t="shared" si="12"/>
        <v>3.6500001049041733E-2</v>
      </c>
      <c r="I50" s="41">
        <f t="shared" si="7"/>
        <v>543.81434922215817</v>
      </c>
    </row>
    <row r="51" spans="1:9" x14ac:dyDescent="0.25">
      <c r="A51" s="11"/>
      <c r="B51" s="15">
        <v>21</v>
      </c>
      <c r="C51" s="17">
        <f t="shared" si="9"/>
        <v>21</v>
      </c>
      <c r="D51" s="16">
        <f t="shared" si="10"/>
        <v>50436</v>
      </c>
      <c r="E51" s="19">
        <f t="shared" si="13"/>
        <v>3.6400410963565117</v>
      </c>
      <c r="F51" s="38">
        <f t="shared" si="11"/>
        <v>562.52733678689231</v>
      </c>
      <c r="G51" s="37">
        <f t="shared" si="6"/>
        <v>3.6400410963565166E-2</v>
      </c>
      <c r="H51" s="36">
        <f t="shared" si="12"/>
        <v>3.6500410963565169E-2</v>
      </c>
      <c r="I51" s="41">
        <f t="shared" si="7"/>
        <v>563.6682548231604</v>
      </c>
    </row>
    <row r="52" spans="1:9" x14ac:dyDescent="0.25">
      <c r="A52" s="11"/>
      <c r="B52" s="15">
        <v>22</v>
      </c>
      <c r="C52" s="17">
        <f t="shared" si="9"/>
        <v>22</v>
      </c>
      <c r="D52" s="16">
        <f t="shared" si="10"/>
        <v>50801</v>
      </c>
      <c r="E52" s="19">
        <f t="shared" si="13"/>
        <v>3.6406063726312441</v>
      </c>
      <c r="F52" s="38">
        <f t="shared" si="11"/>
        <v>583.07352336929671</v>
      </c>
      <c r="G52" s="37">
        <f t="shared" si="6"/>
        <v>3.6406063726312388E-2</v>
      </c>
      <c r="H52" s="36">
        <f t="shared" si="12"/>
        <v>3.650606372631239E-2</v>
      </c>
      <c r="I52" s="41">
        <f t="shared" si="7"/>
        <v>584.3124800096399</v>
      </c>
    </row>
    <row r="53" spans="1:9" x14ac:dyDescent="0.25">
      <c r="A53" s="11"/>
      <c r="B53" s="15">
        <v>23</v>
      </c>
      <c r="C53" s="17">
        <f t="shared" si="9"/>
        <v>23</v>
      </c>
      <c r="D53" s="16">
        <f t="shared" si="10"/>
        <v>51166</v>
      </c>
      <c r="E53" s="19">
        <f t="shared" si="13"/>
        <v>3.6404509417251396</v>
      </c>
      <c r="F53" s="38">
        <f t="shared" si="11"/>
        <v>604.28009120347349</v>
      </c>
      <c r="G53" s="37">
        <f t="shared" si="6"/>
        <v>3.6404509417251374E-2</v>
      </c>
      <c r="H53" s="36">
        <f t="shared" si="12"/>
        <v>3.6504509417251377E-2</v>
      </c>
      <c r="I53" s="41">
        <f t="shared" si="7"/>
        <v>605.62254033532247</v>
      </c>
    </row>
    <row r="54" spans="1:9" x14ac:dyDescent="0.25">
      <c r="A54" s="11"/>
      <c r="B54" s="15">
        <v>24</v>
      </c>
      <c r="C54" s="17">
        <f t="shared" si="9"/>
        <v>24</v>
      </c>
      <c r="D54" s="16">
        <f t="shared" si="10"/>
        <v>51532</v>
      </c>
      <c r="E54" s="19">
        <f t="shared" si="13"/>
        <v>3.6383304075144638</v>
      </c>
      <c r="F54" s="38">
        <f t="shared" si="11"/>
        <v>625.97114863967749</v>
      </c>
      <c r="G54" s="37">
        <f t="shared" si="6"/>
        <v>3.6383304075144673E-2</v>
      </c>
      <c r="H54" s="36">
        <f t="shared" si="12"/>
        <v>3.6483304075144676E-2</v>
      </c>
      <c r="I54" s="41">
        <f t="shared" si="7"/>
        <v>627.4223481711249</v>
      </c>
    </row>
    <row r="55" spans="1:9" x14ac:dyDescent="0.25">
      <c r="A55" s="11"/>
      <c r="B55" s="15">
        <v>25</v>
      </c>
      <c r="C55" s="17">
        <f t="shared" si="9"/>
        <v>25</v>
      </c>
      <c r="D55" s="16">
        <f t="shared" si="10"/>
        <v>51897</v>
      </c>
      <c r="E55" s="19">
        <f t="shared" si="13"/>
        <v>3.6329998970031738</v>
      </c>
      <c r="F55" s="38">
        <f t="shared" si="11"/>
        <v>647.91237549732807</v>
      </c>
      <c r="G55" s="37">
        <f t="shared" si="6"/>
        <v>3.6329998970031641E-2</v>
      </c>
      <c r="H55" s="36">
        <f t="shared" si="12"/>
        <v>3.6429998970031643E-2</v>
      </c>
      <c r="I55" s="41">
        <f t="shared" si="7"/>
        <v>649.47718393222783</v>
      </c>
    </row>
    <row r="56" spans="1:9" x14ac:dyDescent="0.25">
      <c r="A56" s="11"/>
      <c r="B56" s="15">
        <v>26</v>
      </c>
      <c r="C56" s="17">
        <f t="shared" si="9"/>
        <v>26</v>
      </c>
      <c r="D56" s="16">
        <f t="shared" si="10"/>
        <v>52262</v>
      </c>
      <c r="E56" s="19">
        <f t="shared" si="13"/>
        <v>3.623601675901023</v>
      </c>
      <c r="F56" s="38">
        <f t="shared" si="11"/>
        <v>669.86962665711985</v>
      </c>
      <c r="G56" s="37">
        <f t="shared" si="6"/>
        <v>3.6236016759010337E-2</v>
      </c>
      <c r="H56" s="36">
        <f t="shared" si="12"/>
        <v>3.6336016759010339E-2</v>
      </c>
      <c r="I56" s="41">
        <f t="shared" si="7"/>
        <v>671.55241278918788</v>
      </c>
    </row>
    <row r="57" spans="1:9" x14ac:dyDescent="0.25">
      <c r="A57" s="11"/>
      <c r="B57" s="15">
        <v>27</v>
      </c>
      <c r="C57" s="17">
        <f t="shared" si="9"/>
        <v>27</v>
      </c>
      <c r="D57" s="16">
        <f t="shared" si="10"/>
        <v>52627</v>
      </c>
      <c r="E57" s="19">
        <f t="shared" si="13"/>
        <v>3.6108256606147497</v>
      </c>
      <c r="F57" s="38">
        <f t="shared" si="11"/>
        <v>691.836002080085</v>
      </c>
      <c r="G57" s="37">
        <f t="shared" si="6"/>
        <v>3.6108256606147471E-2</v>
      </c>
      <c r="H57" s="36">
        <f t="shared" si="12"/>
        <v>3.6208256606147474E-2</v>
      </c>
      <c r="I57" s="41">
        <f t="shared" si="7"/>
        <v>693.64112504542686</v>
      </c>
    </row>
    <row r="58" spans="1:9" x14ac:dyDescent="0.25">
      <c r="A58" s="11"/>
      <c r="B58" s="15">
        <v>28</v>
      </c>
      <c r="C58" s="17">
        <f t="shared" si="9"/>
        <v>28</v>
      </c>
      <c r="D58" s="16">
        <f t="shared" si="10"/>
        <v>52993</v>
      </c>
      <c r="E58" s="19">
        <f t="shared" si="13"/>
        <v>3.5957486670108252</v>
      </c>
      <c r="F58" s="38">
        <f t="shared" si="11"/>
        <v>713.90209824493036</v>
      </c>
      <c r="G58" s="37">
        <f t="shared" si="6"/>
        <v>3.595748667010823E-2</v>
      </c>
      <c r="H58" s="36">
        <f t="shared" si="12"/>
        <v>3.6057486670108232E-2</v>
      </c>
      <c r="I58" s="41">
        <f t="shared" si="7"/>
        <v>715.83415913177441</v>
      </c>
    </row>
    <row r="59" spans="1:9" x14ac:dyDescent="0.25">
      <c r="A59" s="11"/>
      <c r="B59" s="15">
        <v>29</v>
      </c>
      <c r="C59" s="17">
        <f t="shared" si="9"/>
        <v>29</v>
      </c>
      <c r="D59" s="16">
        <f t="shared" si="10"/>
        <v>53358</v>
      </c>
      <c r="E59" s="19">
        <f t="shared" si="13"/>
        <v>3.579447809399356</v>
      </c>
      <c r="F59" s="38">
        <f t="shared" si="11"/>
        <v>736.20485449914679</v>
      </c>
      <c r="G59" s="37">
        <f t="shared" si="6"/>
        <v>3.5794478093993609E-2</v>
      </c>
      <c r="H59" s="36">
        <f t="shared" si="12"/>
        <v>3.5894478093993612E-2</v>
      </c>
      <c r="I59" s="41">
        <f t="shared" si="7"/>
        <v>738.26885689712458</v>
      </c>
    </row>
    <row r="60" spans="1:9" x14ac:dyDescent="0.25">
      <c r="A60" s="11"/>
      <c r="B60" s="15">
        <v>30</v>
      </c>
      <c r="C60" s="17">
        <f t="shared" si="9"/>
        <v>30</v>
      </c>
      <c r="D60" s="16">
        <f t="shared" si="10"/>
        <v>53723</v>
      </c>
      <c r="E60" s="19">
        <f t="shared" si="13"/>
        <v>3.562999963760376</v>
      </c>
      <c r="F60" s="38">
        <f t="shared" si="11"/>
        <v>758.93257986480774</v>
      </c>
      <c r="G60" s="37">
        <f t="shared" si="6"/>
        <v>3.5629999637603715E-2</v>
      </c>
      <c r="H60" s="36">
        <f t="shared" si="12"/>
        <v>3.5729999637603718E-2</v>
      </c>
      <c r="I60" s="41">
        <f t="shared" si="7"/>
        <v>761.13412712726506</v>
      </c>
    </row>
    <row r="61" spans="1:9" x14ac:dyDescent="0.25">
      <c r="A61" s="11"/>
      <c r="B61" s="15">
        <v>31</v>
      </c>
      <c r="C61" s="17">
        <f t="shared" si="9"/>
        <v>31</v>
      </c>
      <c r="D61" s="16">
        <f t="shared" si="10"/>
        <v>54088</v>
      </c>
      <c r="E61" s="19">
        <f t="shared" si="13"/>
        <v>3.5473125942500618</v>
      </c>
      <c r="F61" s="38">
        <f t="shared" si="11"/>
        <v>782.29096778235566</v>
      </c>
      <c r="G61" s="37">
        <f t="shared" si="6"/>
        <v>3.5473125942500516E-2</v>
      </c>
      <c r="H61" s="36">
        <f t="shared" si="12"/>
        <v>3.5573125942500519E-2</v>
      </c>
      <c r="I61" s="41">
        <f t="shared" si="7"/>
        <v>784.6363867563208</v>
      </c>
    </row>
    <row r="62" spans="1:9" x14ac:dyDescent="0.25">
      <c r="A62" s="11"/>
      <c r="B62" s="15">
        <v>32</v>
      </c>
      <c r="C62" s="17">
        <f t="shared" si="9"/>
        <v>32</v>
      </c>
      <c r="D62" s="16">
        <f t="shared" si="10"/>
        <v>54454</v>
      </c>
      <c r="E62" s="19">
        <f t="shared" si="13"/>
        <v>3.5326161685236892</v>
      </c>
      <c r="F62" s="38">
        <f t="shared" si="11"/>
        <v>806.37035384471096</v>
      </c>
      <c r="G62" s="37">
        <f t="shared" si="6"/>
        <v>3.5326161685236945E-2</v>
      </c>
      <c r="H62" s="36">
        <f t="shared" si="12"/>
        <v>3.5426161685236948E-2</v>
      </c>
      <c r="I62" s="41">
        <f t="shared" si="7"/>
        <v>808.86642908105478</v>
      </c>
    </row>
    <row r="63" spans="1:9" x14ac:dyDescent="0.25">
      <c r="A63" s="11"/>
      <c r="B63" s="15">
        <v>33</v>
      </c>
      <c r="C63" s="17">
        <f t="shared" si="9"/>
        <v>33</v>
      </c>
      <c r="D63" s="16">
        <f t="shared" si="10"/>
        <v>54819</v>
      </c>
      <c r="E63" s="19">
        <f t="shared" si="13"/>
        <v>3.5189709641655273</v>
      </c>
      <c r="F63" s="38">
        <f t="shared" si="11"/>
        <v>831.23295066908918</v>
      </c>
      <c r="G63" s="37">
        <f t="shared" si="6"/>
        <v>3.5189709641655353E-2</v>
      </c>
      <c r="H63" s="36">
        <f t="shared" si="12"/>
        <v>3.5289709641655356E-2</v>
      </c>
      <c r="I63" s="41">
        <f t="shared" si="7"/>
        <v>833.88687261442738</v>
      </c>
    </row>
    <row r="64" spans="1:9" x14ac:dyDescent="0.25">
      <c r="A64" s="11"/>
      <c r="B64" s="15">
        <v>34</v>
      </c>
      <c r="C64" s="17">
        <f t="shared" si="9"/>
        <v>34</v>
      </c>
      <c r="D64" s="16">
        <f t="shared" si="10"/>
        <v>55184</v>
      </c>
      <c r="E64" s="19">
        <f t="shared" si="13"/>
        <v>3.5064382159446756</v>
      </c>
      <c r="F64" s="38">
        <f t="shared" si="11"/>
        <v>856.94886792154307</v>
      </c>
      <c r="G64" s="37">
        <f t="shared" si="6"/>
        <v>3.5064382159446739E-2</v>
      </c>
      <c r="H64" s="36">
        <f t="shared" si="12"/>
        <v>3.5164382159446742E-2</v>
      </c>
      <c r="I64" s="41">
        <f t="shared" si="7"/>
        <v>859.76828245612296</v>
      </c>
    </row>
    <row r="65" spans="1:9" x14ac:dyDescent="0.25">
      <c r="A65" s="11"/>
      <c r="B65" s="15">
        <v>35</v>
      </c>
      <c r="C65" s="17">
        <f t="shared" si="9"/>
        <v>35</v>
      </c>
      <c r="D65" s="16">
        <f t="shared" si="10"/>
        <v>55549</v>
      </c>
      <c r="E65" s="19">
        <f t="shared" si="13"/>
        <v>3.4950783223175677</v>
      </c>
      <c r="F65" s="38">
        <f t="shared" si="11"/>
        <v>883.59640306756194</v>
      </c>
      <c r="G65" s="37">
        <f t="shared" si="6"/>
        <v>3.4950783223175685E-2</v>
      </c>
      <c r="H65" s="36">
        <f t="shared" si="12"/>
        <v>3.5050783223175688E-2</v>
      </c>
      <c r="I65" s="41">
        <f t="shared" si="7"/>
        <v>886.58946584696355</v>
      </c>
    </row>
    <row r="66" spans="1:9" x14ac:dyDescent="0.25">
      <c r="A66" s="11"/>
      <c r="B66" s="15">
        <v>36</v>
      </c>
      <c r="C66" s="17">
        <f t="shared" si="9"/>
        <v>36</v>
      </c>
      <c r="D66" s="16">
        <f t="shared" si="10"/>
        <v>55915</v>
      </c>
      <c r="E66" s="19">
        <f t="shared" si="13"/>
        <v>3.4849521592244681</v>
      </c>
      <c r="F66" s="38">
        <f t="shared" si="11"/>
        <v>911.26321967691058</v>
      </c>
      <c r="G66" s="37">
        <f t="shared" si="6"/>
        <v>3.4849521592244637E-2</v>
      </c>
      <c r="H66" s="36">
        <f t="shared" si="12"/>
        <v>3.494952159224464E-2</v>
      </c>
      <c r="I66" s="41">
        <f t="shared" si="7"/>
        <v>914.4386584521734</v>
      </c>
    </row>
    <row r="67" spans="1:9" x14ac:dyDescent="0.25">
      <c r="A67" s="11"/>
      <c r="B67" s="15">
        <v>37</v>
      </c>
      <c r="C67" s="17">
        <f t="shared" si="9"/>
        <v>37</v>
      </c>
      <c r="D67" s="16">
        <f t="shared" si="10"/>
        <v>56280</v>
      </c>
      <c r="E67" s="19">
        <f t="shared" si="13"/>
        <v>3.4761204832485419</v>
      </c>
      <c r="F67" s="38">
        <f t="shared" si="11"/>
        <v>940.04712355272864</v>
      </c>
      <c r="G67" s="37">
        <f t="shared" si="6"/>
        <v>3.4761204832485459E-2</v>
      </c>
      <c r="H67" s="36">
        <f t="shared" si="12"/>
        <v>3.4861204832485462E-2</v>
      </c>
      <c r="I67" s="41">
        <f t="shared" si="7"/>
        <v>943.41430775230617</v>
      </c>
    </row>
    <row r="68" spans="1:9" x14ac:dyDescent="0.25">
      <c r="A68" s="11"/>
      <c r="B68" s="15">
        <v>38</v>
      </c>
      <c r="C68" s="17">
        <f t="shared" si="9"/>
        <v>38</v>
      </c>
      <c r="D68" s="16">
        <f t="shared" si="10"/>
        <v>56645</v>
      </c>
      <c r="E68" s="19">
        <f t="shared" si="13"/>
        <v>3.4686440512131478</v>
      </c>
      <c r="F68" s="38">
        <f t="shared" si="11"/>
        <v>970.0571455501331</v>
      </c>
      <c r="G68" s="37">
        <f t="shared" si="6"/>
        <v>3.4686440512131433E-2</v>
      </c>
      <c r="H68" s="36">
        <f t="shared" si="12"/>
        <v>3.4786440512131436E-2</v>
      </c>
      <c r="I68" s="41">
        <f t="shared" si="7"/>
        <v>973.62616467148678</v>
      </c>
    </row>
    <row r="69" spans="1:9" x14ac:dyDescent="0.25">
      <c r="A69" s="11"/>
      <c r="B69" s="15">
        <v>39</v>
      </c>
      <c r="C69" s="17">
        <f t="shared" si="9"/>
        <v>39</v>
      </c>
      <c r="D69" s="16">
        <f t="shared" si="10"/>
        <v>57010</v>
      </c>
      <c r="E69" s="19">
        <f t="shared" si="13"/>
        <v>3.4625836194647204</v>
      </c>
      <c r="F69" s="38">
        <f t="shared" si="11"/>
        <v>1001.4147283901505</v>
      </c>
      <c r="G69" s="37">
        <f t="shared" si="6"/>
        <v>3.4625836194647208E-2</v>
      </c>
      <c r="H69" s="36">
        <f t="shared" si="12"/>
        <v>3.4725836194647211E-2</v>
      </c>
      <c r="I69" s="41">
        <f t="shared" si="7"/>
        <v>1005.1964802105878</v>
      </c>
    </row>
    <row r="70" spans="1:9" x14ac:dyDescent="0.25">
      <c r="A70" s="11"/>
      <c r="B70" s="15">
        <v>40</v>
      </c>
      <c r="C70" s="17">
        <f t="shared" si="9"/>
        <v>40</v>
      </c>
      <c r="D70" s="16">
        <f t="shared" si="10"/>
        <v>57376</v>
      </c>
      <c r="E70" s="19">
        <f t="shared" si="13"/>
        <v>3.4579999446868896</v>
      </c>
      <c r="F70" s="38">
        <f t="shared" si="11"/>
        <v>1034.2550722568662</v>
      </c>
      <c r="G70" s="37">
        <f t="shared" si="6"/>
        <v>3.4579999446868959E-2</v>
      </c>
      <c r="H70" s="36">
        <f t="shared" si="12"/>
        <v>3.4679999446868962E-2</v>
      </c>
      <c r="I70" s="41">
        <f t="shared" si="7"/>
        <v>1038.2613621492221</v>
      </c>
    </row>
    <row r="71" spans="1:9" x14ac:dyDescent="0.25">
      <c r="A71" s="11"/>
      <c r="B71" s="15">
        <v>41</v>
      </c>
      <c r="C71" s="17">
        <f t="shared" si="9"/>
        <v>41</v>
      </c>
      <c r="D71" s="16">
        <f t="shared" si="10"/>
        <v>57741</v>
      </c>
      <c r="E71" s="19">
        <f t="shared" si="13"/>
        <v>3.454917864390334</v>
      </c>
      <c r="F71" s="38">
        <f t="shared" si="11"/>
        <v>1068.713451029538</v>
      </c>
      <c r="G71" s="37">
        <f t="shared" si="6"/>
        <v>3.4549178643903389E-2</v>
      </c>
      <c r="H71" s="36">
        <f t="shared" si="12"/>
        <v>3.4649178643903392E-2</v>
      </c>
      <c r="I71" s="41">
        <f t="shared" si="7"/>
        <v>1072.9570449401199</v>
      </c>
    </row>
    <row r="72" spans="1:9" x14ac:dyDescent="0.25">
      <c r="A72" s="11"/>
      <c r="B72" s="15">
        <v>42</v>
      </c>
      <c r="C72" s="17">
        <f t="shared" si="9"/>
        <v>42</v>
      </c>
      <c r="D72" s="16">
        <f t="shared" si="10"/>
        <v>58106</v>
      </c>
      <c r="E72" s="19">
        <f t="shared" si="13"/>
        <v>3.4532200251722363</v>
      </c>
      <c r="F72" s="38">
        <f t="shared" si="11"/>
        <v>1104.874787789116</v>
      </c>
      <c r="G72" s="37">
        <f t="shared" si="6"/>
        <v>3.4532200251722323E-2</v>
      </c>
      <c r="H72" s="36">
        <f t="shared" si="12"/>
        <v>3.4632200251722325E-2</v>
      </c>
      <c r="I72" s="41">
        <f t="shared" si="7"/>
        <v>1109.3692650064179</v>
      </c>
    </row>
    <row r="73" spans="1:9" x14ac:dyDescent="0.25">
      <c r="A73" s="11"/>
      <c r="B73" s="15">
        <v>43</v>
      </c>
      <c r="C73" s="17">
        <f t="shared" si="9"/>
        <v>43</v>
      </c>
      <c r="D73" s="16">
        <f t="shared" si="10"/>
        <v>58471</v>
      </c>
      <c r="E73" s="19">
        <f t="shared" si="13"/>
        <v>3.4527517183936092</v>
      </c>
      <c r="F73" s="38">
        <f t="shared" si="11"/>
        <v>1142.8060756115397</v>
      </c>
      <c r="G73" s="37">
        <f t="shared" si="6"/>
        <v>3.4527517183936096E-2</v>
      </c>
      <c r="H73" s="36">
        <f t="shared" si="12"/>
        <v>3.4627517183936099E-2</v>
      </c>
      <c r="I73" s="41">
        <f t="shared" si="7"/>
        <v>1147.5657889651288</v>
      </c>
    </row>
    <row r="74" spans="1:9" x14ac:dyDescent="0.25">
      <c r="A74" s="11"/>
      <c r="B74" s="15">
        <v>44</v>
      </c>
      <c r="C74" s="17">
        <f t="shared" si="9"/>
        <v>44</v>
      </c>
      <c r="D74" s="16">
        <f t="shared" si="10"/>
        <v>58837</v>
      </c>
      <c r="E74" s="19">
        <f t="shared" si="13"/>
        <v>3.4533599101495751</v>
      </c>
      <c r="F74" s="38">
        <f t="shared" si="11"/>
        <v>1182.5701905859298</v>
      </c>
      <c r="G74" s="37">
        <f t="shared" si="6"/>
        <v>3.4533599101495671E-2</v>
      </c>
      <c r="H74" s="36">
        <f t="shared" si="12"/>
        <v>3.4633599101495674E-2</v>
      </c>
      <c r="I74" s="41">
        <f t="shared" si="7"/>
        <v>1187.6102754803821</v>
      </c>
    </row>
    <row r="75" spans="1:9" x14ac:dyDescent="0.25">
      <c r="A75" s="11"/>
      <c r="B75" s="15">
        <v>45</v>
      </c>
      <c r="C75" s="17">
        <f t="shared" si="9"/>
        <v>45</v>
      </c>
      <c r="D75" s="16">
        <f t="shared" si="10"/>
        <v>59202</v>
      </c>
      <c r="E75" s="19">
        <f t="shared" si="13"/>
        <v>3.4548904905968811</v>
      </c>
      <c r="F75" s="38">
        <f t="shared" si="11"/>
        <v>1224.2233690905941</v>
      </c>
      <c r="G75" s="37">
        <f t="shared" si="6"/>
        <v>3.4548904905968847E-2</v>
      </c>
      <c r="H75" s="36">
        <f t="shared" si="12"/>
        <v>3.464890490596885E-2</v>
      </c>
      <c r="I75" s="41">
        <f t="shared" si="7"/>
        <v>1229.559739803103</v>
      </c>
    </row>
    <row r="76" spans="1:9" x14ac:dyDescent="0.25">
      <c r="A76" s="11"/>
      <c r="B76" s="15">
        <v>46</v>
      </c>
      <c r="C76" s="17">
        <f t="shared" si="9"/>
        <v>46</v>
      </c>
      <c r="D76" s="16">
        <f t="shared" si="10"/>
        <v>59567</v>
      </c>
      <c r="E76" s="19">
        <f t="shared" si="13"/>
        <v>3.4571899470078939</v>
      </c>
      <c r="F76" s="38">
        <f t="shared" si="11"/>
        <v>1267.8145158607535</v>
      </c>
      <c r="G76" s="37">
        <f t="shared" si="6"/>
        <v>3.4571899470078993E-2</v>
      </c>
      <c r="H76" s="36">
        <f t="shared" si="12"/>
        <v>3.4671899470078996E-2</v>
      </c>
      <c r="I76" s="41">
        <f t="shared" si="7"/>
        <v>1273.4638556182372</v>
      </c>
    </row>
    <row r="77" spans="1:9" x14ac:dyDescent="0.25">
      <c r="A77" s="11"/>
      <c r="B77" s="15">
        <v>47</v>
      </c>
      <c r="C77" s="17">
        <f t="shared" si="9"/>
        <v>47</v>
      </c>
      <c r="D77" s="16">
        <f t="shared" si="10"/>
        <v>59932</v>
      </c>
      <c r="E77" s="19">
        <f t="shared" si="13"/>
        <v>3.460104289573438</v>
      </c>
      <c r="F77" s="38">
        <f t="shared" si="11"/>
        <v>1313.3829749834972</v>
      </c>
      <c r="G77" s="37">
        <f t="shared" si="6"/>
        <v>3.4601042895734402E-2</v>
      </c>
      <c r="H77" s="36">
        <f t="shared" si="12"/>
        <v>3.4701042895734405E-2</v>
      </c>
      <c r="I77" s="41">
        <f t="shared" si="7"/>
        <v>1319.3627125713624</v>
      </c>
    </row>
    <row r="78" spans="1:9" x14ac:dyDescent="0.25">
      <c r="A78" s="11"/>
      <c r="B78" s="15">
        <v>48</v>
      </c>
      <c r="C78" s="17">
        <f t="shared" si="9"/>
        <v>48</v>
      </c>
      <c r="D78" s="16">
        <f t="shared" si="10"/>
        <v>60298</v>
      </c>
      <c r="E78" s="19">
        <f t="shared" si="13"/>
        <v>3.4634799461139734</v>
      </c>
      <c r="F78" s="38">
        <f t="shared" si="11"/>
        <v>1360.9571224884667</v>
      </c>
      <c r="G78" s="37">
        <f t="shared" si="6"/>
        <v>3.4634799461139787E-2</v>
      </c>
      <c r="H78" s="36">
        <f t="shared" si="12"/>
        <v>3.473479946113979E-2</v>
      </c>
      <c r="I78" s="41">
        <f t="shared" si="7"/>
        <v>1367.2853978379278</v>
      </c>
    </row>
    <row r="79" spans="1:9" x14ac:dyDescent="0.25">
      <c r="A79" s="11"/>
      <c r="B79" s="15">
        <v>49</v>
      </c>
      <c r="C79" s="17">
        <f t="shared" si="9"/>
        <v>49</v>
      </c>
      <c r="D79" s="16">
        <f t="shared" si="10"/>
        <v>60663</v>
      </c>
      <c r="E79" s="19">
        <f t="shared" si="13"/>
        <v>3.4671630754405443</v>
      </c>
      <c r="F79" s="38">
        <f t="shared" si="11"/>
        <v>1410.551863855954</v>
      </c>
      <c r="G79" s="37">
        <f t="shared" si="6"/>
        <v>3.4671630754405491E-2</v>
      </c>
      <c r="H79" s="36">
        <f t="shared" si="12"/>
        <v>3.4771630754405494E-2</v>
      </c>
      <c r="I79" s="41">
        <f t="shared" si="7"/>
        <v>1417.2474767015685</v>
      </c>
    </row>
    <row r="80" spans="1:9" x14ac:dyDescent="0.25">
      <c r="A80" s="11"/>
      <c r="B80" s="15">
        <v>50</v>
      </c>
      <c r="C80" s="17">
        <f t="shared" si="9"/>
        <v>50</v>
      </c>
      <c r="D80" s="16">
        <f t="shared" si="10"/>
        <v>61028</v>
      </c>
      <c r="E80" s="19">
        <f t="shared" si="13"/>
        <v>3.4709999561309814</v>
      </c>
      <c r="F80" s="38">
        <f t="shared" si="11"/>
        <v>1462.1665168543739</v>
      </c>
      <c r="G80" s="37">
        <f t="shared" si="6"/>
        <v>3.4709999561309823E-2</v>
      </c>
      <c r="H80" s="36">
        <f t="shared" si="12"/>
        <v>3.4809999561309826E-2</v>
      </c>
      <c r="I80" s="41">
        <f t="shared" si="7"/>
        <v>1469.2488588359049</v>
      </c>
    </row>
    <row r="81" spans="1:9" x14ac:dyDescent="0.25">
      <c r="A81" s="11"/>
      <c r="B81" s="12"/>
      <c r="C81" s="13"/>
      <c r="D81" s="13"/>
      <c r="E81" s="13"/>
      <c r="F81" s="13"/>
      <c r="G81" s="35"/>
      <c r="H81" s="36"/>
      <c r="I81" s="41"/>
    </row>
    <row r="82" spans="1:9" x14ac:dyDescent="0.25">
      <c r="A82" s="11"/>
      <c r="B82" s="12"/>
      <c r="C82" s="13"/>
      <c r="D82" s="13"/>
      <c r="E82" s="13"/>
      <c r="F82" s="13"/>
      <c r="G82" s="35"/>
      <c r="H82" s="36"/>
      <c r="I82" s="41"/>
    </row>
    <row r="83" spans="1:9" x14ac:dyDescent="0.25">
      <c r="A83" s="11"/>
      <c r="B83" s="12"/>
      <c r="C83" s="13"/>
      <c r="D83" s="13"/>
      <c r="E83" s="13"/>
      <c r="F83" s="13"/>
      <c r="G83" s="35"/>
      <c r="H83" s="36"/>
      <c r="I83" s="41"/>
    </row>
    <row r="84" spans="1:9" x14ac:dyDescent="0.25">
      <c r="A84" s="11"/>
      <c r="B84" s="12"/>
      <c r="C84" s="13"/>
      <c r="D84" s="13"/>
      <c r="E84" s="13"/>
      <c r="F84" s="13"/>
      <c r="G84" s="35"/>
      <c r="H84" s="36"/>
      <c r="I84" s="41"/>
    </row>
    <row r="85" spans="1:9" x14ac:dyDescent="0.25">
      <c r="A85" s="11"/>
      <c r="B85" s="12"/>
      <c r="C85" s="13"/>
      <c r="D85" s="13"/>
      <c r="E85" s="13"/>
      <c r="F85" s="13"/>
      <c r="G85" s="35"/>
      <c r="H85" s="36"/>
      <c r="I85" s="41"/>
    </row>
    <row r="86" spans="1:9" x14ac:dyDescent="0.25">
      <c r="A86" s="11"/>
      <c r="B86" s="12"/>
      <c r="C86" s="13"/>
      <c r="D86" s="13"/>
      <c r="E86" s="13"/>
      <c r="F86" s="13"/>
      <c r="G86" s="35"/>
      <c r="H86" s="36"/>
      <c r="I86" s="41"/>
    </row>
    <row r="87" spans="1:9" x14ac:dyDescent="0.25">
      <c r="A87" s="11"/>
      <c r="B87" s="12"/>
      <c r="C87" s="13"/>
      <c r="D87" s="13"/>
      <c r="E87" s="13"/>
      <c r="F87" s="13"/>
      <c r="G87" s="35"/>
      <c r="H87" s="36"/>
      <c r="I87" s="41"/>
    </row>
    <row r="88" spans="1:9" x14ac:dyDescent="0.25">
      <c r="A88" s="11"/>
      <c r="B88" s="12"/>
      <c r="C88" s="13"/>
      <c r="D88" s="13"/>
      <c r="E88" s="13"/>
      <c r="F88" s="13"/>
      <c r="G88" s="35"/>
      <c r="H88" s="36"/>
      <c r="I88" s="41"/>
    </row>
    <row r="89" spans="1:9" x14ac:dyDescent="0.25">
      <c r="A89" s="11"/>
      <c r="B89" s="12"/>
      <c r="C89" s="13"/>
      <c r="D89" s="13"/>
      <c r="E89" s="13"/>
      <c r="F89" s="13"/>
      <c r="G89" s="35"/>
      <c r="H89" s="36"/>
      <c r="I89" s="41"/>
    </row>
    <row r="90" spans="1:9" x14ac:dyDescent="0.25">
      <c r="A90" s="11"/>
      <c r="B90" s="12"/>
      <c r="C90" s="13"/>
      <c r="D90" s="13"/>
      <c r="E90" s="13"/>
      <c r="F90" s="13"/>
      <c r="G90" s="35"/>
      <c r="H90" s="36"/>
      <c r="I90" s="41"/>
    </row>
    <row r="91" spans="1:9" x14ac:dyDescent="0.25">
      <c r="A91" s="11"/>
      <c r="B91" s="39"/>
      <c r="C91" s="35"/>
      <c r="D91" s="35"/>
      <c r="E91" s="35"/>
      <c r="F91" s="35"/>
      <c r="G91" s="35"/>
      <c r="H91" s="36"/>
      <c r="I91" s="41"/>
    </row>
    <row r="92" spans="1:9" x14ac:dyDescent="0.25">
      <c r="A92" s="11"/>
      <c r="B92" s="11"/>
      <c r="C92" s="11"/>
      <c r="D92" s="11"/>
      <c r="E92" s="11"/>
      <c r="F92" s="11"/>
      <c r="G92" s="11"/>
    </row>
    <row r="93" spans="1:9" x14ac:dyDescent="0.25">
      <c r="A93" s="11"/>
      <c r="B93" s="11"/>
      <c r="C93" s="11"/>
      <c r="D93" s="11"/>
      <c r="E93" s="11"/>
      <c r="F93" s="11"/>
      <c r="G93" s="11"/>
    </row>
    <row r="94" spans="1:9" x14ac:dyDescent="0.25">
      <c r="A94" s="11"/>
      <c r="B94" s="11"/>
      <c r="C94" s="11"/>
      <c r="D94" s="11"/>
      <c r="E94" s="11"/>
      <c r="F94" s="11"/>
      <c r="G94" s="11"/>
    </row>
    <row r="95" spans="1:9" x14ac:dyDescent="0.25">
      <c r="A95" s="11"/>
      <c r="B95" s="11"/>
      <c r="C95" s="11"/>
      <c r="D95" s="11"/>
      <c r="E95" s="11"/>
      <c r="F95" s="11"/>
      <c r="G95" s="11"/>
    </row>
    <row r="96" spans="1:9" x14ac:dyDescent="0.25">
      <c r="A96" s="11"/>
      <c r="B96" s="11"/>
      <c r="C96" s="11"/>
      <c r="D96" s="11"/>
      <c r="E96" s="11"/>
      <c r="F96" s="11"/>
      <c r="G96" s="11"/>
    </row>
    <row r="97" spans="1:7" x14ac:dyDescent="0.25">
      <c r="A97" s="11"/>
      <c r="B97" s="11"/>
      <c r="C97" s="11"/>
      <c r="D97" s="11"/>
      <c r="E97" s="11"/>
      <c r="F97" s="11"/>
      <c r="G97" s="11"/>
    </row>
    <row r="98" spans="1:7" x14ac:dyDescent="0.25">
      <c r="A98" s="11"/>
      <c r="B98" s="11"/>
      <c r="C98" s="11"/>
      <c r="D98" s="11"/>
      <c r="E98" s="11"/>
      <c r="F98" s="11"/>
      <c r="G98" s="11"/>
    </row>
    <row r="99" spans="1:7" x14ac:dyDescent="0.25">
      <c r="A99" s="11"/>
      <c r="B99" s="11"/>
      <c r="C99" s="11"/>
      <c r="D99" s="11"/>
      <c r="E99" s="11"/>
      <c r="F99" s="11"/>
      <c r="G99" s="11"/>
    </row>
    <row r="100" spans="1:7" x14ac:dyDescent="0.25">
      <c r="A100" s="11"/>
      <c r="B100" s="11"/>
      <c r="C100" s="11"/>
      <c r="D100" s="11"/>
      <c r="E100" s="11"/>
      <c r="F100" s="11"/>
      <c r="G100" s="11"/>
    </row>
    <row r="101" spans="1:7" x14ac:dyDescent="0.25">
      <c r="A101" s="11"/>
      <c r="B101" s="11"/>
      <c r="C101" s="11"/>
      <c r="D101" s="11"/>
      <c r="E101" s="11"/>
      <c r="F101" s="11"/>
      <c r="G101" s="11"/>
    </row>
    <row r="102" spans="1:7" x14ac:dyDescent="0.25">
      <c r="A102" s="11"/>
      <c r="B102" s="11"/>
      <c r="C102" s="11"/>
      <c r="D102" s="11"/>
      <c r="E102" s="11"/>
      <c r="F102" s="11"/>
      <c r="G102" s="11"/>
    </row>
    <row r="103" spans="1:7" x14ac:dyDescent="0.25">
      <c r="A103" s="11"/>
      <c r="B103" s="11"/>
      <c r="C103" s="11"/>
      <c r="D103" s="11"/>
      <c r="E103" s="11"/>
      <c r="F103" s="11"/>
      <c r="G103" s="11"/>
    </row>
    <row r="104" spans="1:7" x14ac:dyDescent="0.25">
      <c r="A104" s="11"/>
      <c r="B104" s="11"/>
      <c r="C104" s="11"/>
      <c r="D104" s="11"/>
      <c r="E104" s="11"/>
      <c r="F104" s="11"/>
      <c r="G104" s="11"/>
    </row>
    <row r="105" spans="1:7" x14ac:dyDescent="0.25">
      <c r="A105" s="11"/>
      <c r="B105" s="11"/>
      <c r="C105" s="11"/>
      <c r="D105" s="11"/>
      <c r="E105" s="11"/>
      <c r="F105" s="11"/>
      <c r="G105" s="11"/>
    </row>
    <row r="106" spans="1:7" x14ac:dyDescent="0.25">
      <c r="A106" s="11"/>
      <c r="B106" s="11"/>
      <c r="C106" s="11"/>
      <c r="D106" s="11"/>
      <c r="E106" s="11"/>
      <c r="F106" s="11"/>
      <c r="G106" s="11"/>
    </row>
    <row r="107" spans="1:7" x14ac:dyDescent="0.25">
      <c r="A107" s="11"/>
      <c r="B107" s="11"/>
      <c r="C107" s="11"/>
      <c r="D107" s="11"/>
      <c r="E107" s="11"/>
      <c r="F107" s="11"/>
      <c r="G107" s="11"/>
    </row>
    <row r="108" spans="1:7" x14ac:dyDescent="0.25">
      <c r="A108" s="11"/>
      <c r="B108" s="11"/>
      <c r="C108" s="11"/>
      <c r="D108" s="11"/>
      <c r="E108" s="11"/>
      <c r="F108" s="11"/>
      <c r="G108" s="11"/>
    </row>
    <row r="109" spans="1:7" x14ac:dyDescent="0.25">
      <c r="A109" s="11"/>
      <c r="B109" s="11"/>
      <c r="C109" s="11"/>
      <c r="D109" s="11"/>
      <c r="E109" s="11"/>
      <c r="F109" s="11"/>
      <c r="G109" s="11"/>
    </row>
    <row r="110" spans="1:7" x14ac:dyDescent="0.25">
      <c r="A110" s="11"/>
      <c r="B110" s="11"/>
      <c r="C110" s="11"/>
      <c r="D110" s="11"/>
      <c r="E110" s="11"/>
      <c r="F110" s="11"/>
      <c r="G110" s="11"/>
    </row>
    <row r="111" spans="1:7" x14ac:dyDescent="0.25">
      <c r="A111" s="11"/>
      <c r="B111" s="11"/>
      <c r="C111" s="11"/>
      <c r="D111" s="11"/>
      <c r="E111" s="11"/>
      <c r="F111" s="11"/>
      <c r="G111" s="11"/>
    </row>
    <row r="112" spans="1:7" x14ac:dyDescent="0.25">
      <c r="A112" s="11"/>
      <c r="B112" s="11"/>
      <c r="C112" s="11"/>
      <c r="D112" s="11"/>
      <c r="E112" s="11"/>
      <c r="F112" s="11"/>
      <c r="G112" s="11"/>
    </row>
    <row r="113" spans="1:7" x14ac:dyDescent="0.25">
      <c r="A113" s="11"/>
      <c r="B113" s="11"/>
      <c r="C113" s="11"/>
      <c r="D113" s="11"/>
      <c r="E113" s="11"/>
      <c r="F113" s="11"/>
      <c r="G113" s="11"/>
    </row>
    <row r="114" spans="1:7" x14ac:dyDescent="0.25">
      <c r="A114" s="11"/>
      <c r="B114" s="11"/>
      <c r="C114" s="11"/>
      <c r="D114" s="11"/>
      <c r="E114" s="11"/>
      <c r="F114" s="11"/>
      <c r="G114" s="11"/>
    </row>
    <row r="115" spans="1:7" x14ac:dyDescent="0.25">
      <c r="A115" s="11"/>
      <c r="B115" s="11"/>
      <c r="C115" s="11"/>
      <c r="D115" s="11"/>
      <c r="E115" s="11"/>
      <c r="F115" s="11"/>
      <c r="G115" s="11"/>
    </row>
    <row r="116" spans="1:7" x14ac:dyDescent="0.25">
      <c r="A116" s="11"/>
      <c r="B116" s="11"/>
      <c r="C116" s="11"/>
      <c r="D116" s="11"/>
      <c r="E116" s="11"/>
      <c r="F116" s="11"/>
      <c r="G116" s="11"/>
    </row>
    <row r="117" spans="1:7" x14ac:dyDescent="0.25">
      <c r="A117" s="11"/>
      <c r="B117" s="11"/>
      <c r="C117" s="11"/>
      <c r="D117" s="11"/>
      <c r="E117" s="11"/>
      <c r="F117" s="11"/>
      <c r="G117" s="11"/>
    </row>
    <row r="118" spans="1:7" x14ac:dyDescent="0.25">
      <c r="A118" s="11"/>
      <c r="B118" s="11"/>
      <c r="C118" s="11"/>
      <c r="D118" s="11"/>
      <c r="E118" s="11"/>
      <c r="F118" s="11"/>
      <c r="G118" s="11"/>
    </row>
    <row r="119" spans="1:7" x14ac:dyDescent="0.25">
      <c r="A119" s="11"/>
      <c r="B119" s="11"/>
      <c r="C119" s="11"/>
      <c r="D119" s="11"/>
      <c r="E119" s="11"/>
      <c r="F119" s="11"/>
      <c r="G119" s="11"/>
    </row>
    <row r="120" spans="1:7" x14ac:dyDescent="0.25">
      <c r="A120" s="11"/>
      <c r="B120" s="11"/>
      <c r="C120" s="11"/>
      <c r="D120" s="11"/>
      <c r="E120" s="11"/>
      <c r="F120" s="11"/>
      <c r="G120" s="11"/>
    </row>
    <row r="121" spans="1:7" x14ac:dyDescent="0.25">
      <c r="A121" s="11"/>
      <c r="B121" s="11"/>
      <c r="C121" s="11"/>
      <c r="D121" s="11"/>
      <c r="E121" s="11"/>
      <c r="F121" s="11"/>
      <c r="G121" s="11"/>
    </row>
    <row r="122" spans="1:7" x14ac:dyDescent="0.25">
      <c r="A122" s="11"/>
      <c r="B122" s="11"/>
      <c r="C122" s="11"/>
      <c r="D122" s="11"/>
      <c r="E122" s="11"/>
      <c r="F122" s="11"/>
      <c r="G122" s="11"/>
    </row>
    <row r="123" spans="1:7" x14ac:dyDescent="0.25">
      <c r="A123" s="11"/>
      <c r="B123" s="11"/>
      <c r="C123" s="11"/>
      <c r="D123" s="11"/>
      <c r="E123" s="11"/>
      <c r="F123" s="11"/>
      <c r="G123" s="11"/>
    </row>
    <row r="124" spans="1:7" x14ac:dyDescent="0.25">
      <c r="A124" s="11"/>
      <c r="B124" s="11"/>
      <c r="C124" s="11"/>
      <c r="D124" s="11"/>
      <c r="E124" s="11"/>
      <c r="F124" s="11"/>
      <c r="G124" s="11"/>
    </row>
    <row r="125" spans="1:7" x14ac:dyDescent="0.25">
      <c r="A125" s="11"/>
      <c r="B125" s="11"/>
      <c r="C125" s="11"/>
      <c r="D125" s="11"/>
      <c r="E125" s="11"/>
      <c r="F125" s="11"/>
      <c r="G125" s="11"/>
    </row>
    <row r="126" spans="1:7" x14ac:dyDescent="0.25">
      <c r="A126" s="11"/>
      <c r="B126" s="11"/>
      <c r="C126" s="11"/>
      <c r="D126" s="11"/>
      <c r="E126" s="11"/>
      <c r="F126" s="11"/>
      <c r="G126" s="11"/>
    </row>
    <row r="127" spans="1:7" x14ac:dyDescent="0.25">
      <c r="A127" s="11"/>
      <c r="B127" s="11"/>
      <c r="C127" s="11"/>
      <c r="D127" s="11"/>
      <c r="E127" s="11"/>
      <c r="F127" s="11"/>
      <c r="G127" s="11"/>
    </row>
    <row r="128" spans="1:7" x14ac:dyDescent="0.25">
      <c r="A128" s="11"/>
      <c r="B128" s="11"/>
      <c r="C128" s="11"/>
      <c r="D128" s="11"/>
      <c r="E128" s="11"/>
      <c r="F128" s="11"/>
      <c r="G128" s="11"/>
    </row>
    <row r="129" spans="1:7" x14ac:dyDescent="0.25">
      <c r="A129" s="11"/>
      <c r="B129" s="11"/>
      <c r="C129" s="11"/>
      <c r="D129" s="11"/>
      <c r="E129" s="11"/>
      <c r="F129" s="11"/>
      <c r="G129" s="11"/>
    </row>
    <row r="130" spans="1:7" x14ac:dyDescent="0.25">
      <c r="A130" s="11"/>
      <c r="B130" s="11"/>
      <c r="C130" s="11"/>
      <c r="D130" s="11"/>
      <c r="E130" s="11"/>
      <c r="F130" s="11"/>
      <c r="G130" s="11"/>
    </row>
    <row r="131" spans="1:7" x14ac:dyDescent="0.25">
      <c r="A131" s="11"/>
      <c r="B131" s="11"/>
      <c r="C131" s="11"/>
      <c r="D131" s="11"/>
      <c r="E131" s="11"/>
      <c r="F131" s="11"/>
      <c r="G131" s="11"/>
    </row>
    <row r="132" spans="1:7" x14ac:dyDescent="0.25">
      <c r="A132" s="11"/>
      <c r="B132" s="11"/>
      <c r="C132" s="11"/>
      <c r="D132" s="11"/>
      <c r="E132" s="11"/>
      <c r="F132" s="11"/>
      <c r="G132" s="11"/>
    </row>
    <row r="133" spans="1:7" x14ac:dyDescent="0.25">
      <c r="A133" s="11"/>
      <c r="B133" s="11"/>
      <c r="C133" s="11"/>
      <c r="D133" s="11"/>
      <c r="E133" s="11"/>
      <c r="F133" s="11"/>
      <c r="G133" s="11"/>
    </row>
    <row r="134" spans="1:7" x14ac:dyDescent="0.25">
      <c r="A134" s="11"/>
      <c r="B134" s="11"/>
      <c r="C134" s="11"/>
      <c r="D134" s="11"/>
      <c r="E134" s="11"/>
      <c r="F134" s="11"/>
      <c r="G134" s="11"/>
    </row>
    <row r="135" spans="1:7" x14ac:dyDescent="0.25">
      <c r="A135" s="11"/>
      <c r="B135" s="11"/>
      <c r="C135" s="11"/>
      <c r="D135" s="11"/>
      <c r="E135" s="11"/>
      <c r="F135" s="11"/>
      <c r="G135" s="11"/>
    </row>
    <row r="136" spans="1:7" x14ac:dyDescent="0.25">
      <c r="A136" s="11"/>
      <c r="B136" s="11"/>
      <c r="C136" s="11"/>
      <c r="D136" s="11"/>
      <c r="E136" s="11"/>
      <c r="F136" s="11"/>
      <c r="G136" s="11"/>
    </row>
    <row r="137" spans="1:7" x14ac:dyDescent="0.25">
      <c r="A137" s="11"/>
      <c r="B137" s="11"/>
      <c r="C137" s="11"/>
      <c r="D137" s="11"/>
      <c r="E137" s="11"/>
      <c r="F137" s="11"/>
      <c r="G137" s="11"/>
    </row>
    <row r="138" spans="1:7" x14ac:dyDescent="0.25">
      <c r="A138" s="11"/>
      <c r="B138" s="11"/>
      <c r="C138" s="11"/>
      <c r="D138" s="11"/>
      <c r="E138" s="11"/>
      <c r="F138" s="11"/>
      <c r="G138" s="11"/>
    </row>
    <row r="139" spans="1:7" x14ac:dyDescent="0.25">
      <c r="A139" s="11"/>
      <c r="B139" s="11"/>
      <c r="C139" s="11"/>
      <c r="D139" s="11"/>
      <c r="E139" s="11"/>
      <c r="F139" s="11"/>
      <c r="G139" s="11"/>
    </row>
    <row r="140" spans="1:7" x14ac:dyDescent="0.25">
      <c r="A140" s="11"/>
      <c r="B140" s="11"/>
      <c r="C140" s="11"/>
      <c r="D140" s="11"/>
      <c r="E140" s="11"/>
      <c r="F140" s="11"/>
      <c r="G140" s="11"/>
    </row>
    <row r="141" spans="1:7" x14ac:dyDescent="0.25">
      <c r="A141" s="11"/>
      <c r="B141" s="11"/>
      <c r="C141" s="11"/>
      <c r="D141" s="11"/>
      <c r="E141" s="11"/>
      <c r="F141" s="11"/>
      <c r="G141" s="11"/>
    </row>
    <row r="142" spans="1:7" x14ac:dyDescent="0.25">
      <c r="A142" s="11"/>
      <c r="B142" s="11"/>
      <c r="C142" s="11"/>
      <c r="D142" s="11"/>
      <c r="E142" s="11"/>
      <c r="F142" s="11"/>
      <c r="G142" s="11"/>
    </row>
    <row r="143" spans="1:7" x14ac:dyDescent="0.25">
      <c r="A143" s="11"/>
      <c r="B143" s="11"/>
      <c r="C143" s="11"/>
      <c r="D143" s="11"/>
      <c r="E143" s="11"/>
      <c r="F143" s="11"/>
      <c r="G143" s="11"/>
    </row>
    <row r="144" spans="1:7" x14ac:dyDescent="0.25">
      <c r="A144" s="11"/>
      <c r="B144" s="11"/>
      <c r="C144" s="11"/>
      <c r="D144" s="11"/>
      <c r="E144" s="11"/>
      <c r="F144" s="11"/>
      <c r="G144" s="11"/>
    </row>
    <row r="145" spans="1:7" x14ac:dyDescent="0.25">
      <c r="A145" s="11"/>
      <c r="B145" s="11"/>
      <c r="C145" s="11"/>
      <c r="D145" s="11"/>
      <c r="E145" s="11"/>
      <c r="F145" s="11"/>
      <c r="G145" s="11"/>
    </row>
    <row r="146" spans="1:7" x14ac:dyDescent="0.25">
      <c r="A146" s="11"/>
      <c r="B146" s="11"/>
      <c r="C146" s="11"/>
      <c r="D146" s="11"/>
      <c r="E146" s="11"/>
      <c r="F146" s="11"/>
      <c r="G146" s="11"/>
    </row>
    <row r="147" spans="1:7" x14ac:dyDescent="0.25">
      <c r="A147" s="11"/>
      <c r="B147" s="11"/>
      <c r="C147" s="11"/>
      <c r="D147" s="11"/>
      <c r="E147" s="11"/>
      <c r="F147" s="11"/>
      <c r="G147" s="11"/>
    </row>
    <row r="148" spans="1:7" x14ac:dyDescent="0.25">
      <c r="A148" s="11"/>
      <c r="B148" s="11"/>
      <c r="C148" s="11"/>
      <c r="D148" s="11"/>
      <c r="E148" s="11"/>
      <c r="F148" s="11"/>
      <c r="G148" s="11"/>
    </row>
    <row r="149" spans="1:7" x14ac:dyDescent="0.25">
      <c r="A149" s="11"/>
      <c r="B149" s="11"/>
      <c r="C149" s="11"/>
      <c r="D149" s="11"/>
      <c r="E149" s="11"/>
      <c r="F149" s="11"/>
      <c r="G149" s="11"/>
    </row>
    <row r="150" spans="1:7" x14ac:dyDescent="0.25">
      <c r="A150" s="11"/>
      <c r="B150" s="11"/>
      <c r="C150" s="11"/>
      <c r="D150" s="11"/>
      <c r="E150" s="11"/>
      <c r="F150" s="11"/>
      <c r="G150" s="11"/>
    </row>
    <row r="151" spans="1:7" x14ac:dyDescent="0.25">
      <c r="A151" s="11"/>
      <c r="B151" s="11"/>
      <c r="C151" s="11"/>
      <c r="D151" s="11"/>
      <c r="E151" s="11"/>
      <c r="F151" s="11"/>
      <c r="G151" s="11"/>
    </row>
    <row r="152" spans="1:7" x14ac:dyDescent="0.25">
      <c r="A152" s="11"/>
      <c r="B152" s="11"/>
      <c r="C152" s="11"/>
      <c r="D152" s="11"/>
      <c r="E152" s="11"/>
      <c r="F152" s="11"/>
      <c r="G152" s="11"/>
    </row>
    <row r="153" spans="1:7" x14ac:dyDescent="0.25">
      <c r="A153" s="11"/>
      <c r="B153" s="11"/>
      <c r="C153" s="11"/>
      <c r="D153" s="11"/>
      <c r="E153" s="11"/>
      <c r="F153" s="11"/>
      <c r="G153" s="11"/>
    </row>
    <row r="154" spans="1:7" x14ac:dyDescent="0.25">
      <c r="A154" s="11"/>
      <c r="B154" s="11"/>
      <c r="C154" s="11"/>
      <c r="D154" s="11"/>
      <c r="E154" s="11"/>
      <c r="F154" s="11"/>
      <c r="G154" s="11"/>
    </row>
    <row r="155" spans="1:7" x14ac:dyDescent="0.25">
      <c r="A155" s="11"/>
      <c r="B155" s="11"/>
      <c r="C155" s="11"/>
      <c r="D155" s="11"/>
      <c r="E155" s="11"/>
      <c r="F155" s="11"/>
      <c r="G155" s="11"/>
    </row>
    <row r="156" spans="1:7" x14ac:dyDescent="0.25">
      <c r="A156" s="11"/>
      <c r="B156" s="11"/>
      <c r="C156" s="11"/>
      <c r="D156" s="11"/>
      <c r="E156" s="11"/>
      <c r="F156" s="11"/>
      <c r="G156" s="11"/>
    </row>
    <row r="157" spans="1:7" x14ac:dyDescent="0.25">
      <c r="A157" s="11"/>
      <c r="B157" s="11"/>
      <c r="C157" s="11"/>
      <c r="D157" s="11"/>
      <c r="E157" s="11"/>
      <c r="F157" s="11"/>
      <c r="G157" s="11"/>
    </row>
    <row r="158" spans="1:7" x14ac:dyDescent="0.25">
      <c r="A158" s="11"/>
      <c r="B158" s="11"/>
      <c r="C158" s="11"/>
      <c r="D158" s="11"/>
      <c r="E158" s="11"/>
      <c r="F158" s="11"/>
      <c r="G158" s="11"/>
    </row>
    <row r="159" spans="1:7" x14ac:dyDescent="0.25">
      <c r="A159" s="11"/>
      <c r="B159" s="11"/>
      <c r="C159" s="11"/>
      <c r="D159" s="11"/>
      <c r="E159" s="11"/>
      <c r="F159" s="11"/>
      <c r="G159" s="11"/>
    </row>
    <row r="160" spans="1:7" x14ac:dyDescent="0.25">
      <c r="A160" s="11"/>
      <c r="B160" s="11"/>
      <c r="C160" s="11"/>
      <c r="D160" s="11"/>
      <c r="E160" s="11"/>
      <c r="F160" s="11"/>
      <c r="G160" s="11"/>
    </row>
    <row r="161" spans="1:7" x14ac:dyDescent="0.25">
      <c r="A161" s="11"/>
      <c r="B161" s="11"/>
      <c r="C161" s="11"/>
      <c r="D161" s="11"/>
      <c r="E161" s="11"/>
      <c r="F161" s="11"/>
      <c r="G161" s="11"/>
    </row>
    <row r="162" spans="1:7" x14ac:dyDescent="0.25">
      <c r="A162" s="11"/>
      <c r="B162" s="11"/>
      <c r="C162" s="11"/>
      <c r="D162" s="11"/>
      <c r="E162" s="11"/>
      <c r="F162" s="11"/>
      <c r="G162" s="11"/>
    </row>
    <row r="163" spans="1:7" x14ac:dyDescent="0.25">
      <c r="A163" s="11"/>
      <c r="B163" s="11"/>
      <c r="C163" s="11"/>
      <c r="D163" s="11"/>
      <c r="E163" s="11"/>
      <c r="F163" s="11"/>
      <c r="G163" s="11"/>
    </row>
    <row r="164" spans="1:7" x14ac:dyDescent="0.25">
      <c r="A164" s="11"/>
      <c r="B164" s="11"/>
      <c r="C164" s="11"/>
      <c r="D164" s="11"/>
      <c r="E164" s="11"/>
      <c r="F164" s="11"/>
      <c r="G164" s="11"/>
    </row>
    <row r="165" spans="1:7" x14ac:dyDescent="0.25">
      <c r="A165" s="11"/>
      <c r="B165" s="11"/>
      <c r="C165" s="11"/>
      <c r="D165" s="11"/>
      <c r="E165" s="11"/>
      <c r="F165" s="11"/>
      <c r="G165" s="11"/>
    </row>
    <row r="166" spans="1:7" x14ac:dyDescent="0.25">
      <c r="A166" s="11"/>
      <c r="B166" s="11"/>
      <c r="C166" s="11"/>
      <c r="D166" s="11"/>
      <c r="E166" s="11"/>
      <c r="F166" s="11"/>
      <c r="G166" s="11"/>
    </row>
    <row r="167" spans="1:7" x14ac:dyDescent="0.25">
      <c r="A167" s="11"/>
      <c r="B167" s="11"/>
      <c r="C167" s="11"/>
      <c r="D167" s="11"/>
      <c r="E167" s="11"/>
      <c r="F167" s="11"/>
      <c r="G167" s="11"/>
    </row>
    <row r="168" spans="1:7" x14ac:dyDescent="0.25">
      <c r="A168" s="11"/>
      <c r="B168" s="11"/>
      <c r="C168" s="11"/>
      <c r="D168" s="11"/>
      <c r="E168" s="11"/>
      <c r="F168" s="11"/>
      <c r="G168" s="11"/>
    </row>
    <row r="169" spans="1:7" x14ac:dyDescent="0.25">
      <c r="A169" s="11"/>
      <c r="B169" s="11"/>
      <c r="C169" s="11"/>
      <c r="D169" s="11"/>
      <c r="E169" s="11"/>
      <c r="F169" s="11"/>
      <c r="G169" s="11"/>
    </row>
    <row r="170" spans="1:7" x14ac:dyDescent="0.25">
      <c r="A170" s="11"/>
      <c r="B170" s="11"/>
      <c r="C170" s="11"/>
      <c r="D170" s="11"/>
      <c r="E170" s="11"/>
      <c r="F170" s="11"/>
      <c r="G170" s="11"/>
    </row>
    <row r="171" spans="1:7" x14ac:dyDescent="0.25">
      <c r="A171" s="11"/>
      <c r="B171" s="11"/>
      <c r="C171" s="11"/>
      <c r="D171" s="11"/>
      <c r="E171" s="11"/>
      <c r="F171" s="11"/>
      <c r="G171" s="11"/>
    </row>
    <row r="172" spans="1:7" x14ac:dyDescent="0.25">
      <c r="A172" s="11"/>
      <c r="B172" s="11"/>
      <c r="C172" s="11"/>
      <c r="D172" s="11"/>
      <c r="E172" s="11"/>
      <c r="F172" s="11"/>
      <c r="G172" s="11"/>
    </row>
    <row r="173" spans="1:7" x14ac:dyDescent="0.25">
      <c r="A173" s="11"/>
      <c r="B173" s="11"/>
      <c r="C173" s="11"/>
      <c r="D173" s="11"/>
      <c r="E173" s="11"/>
      <c r="F173" s="11"/>
      <c r="G173" s="11"/>
    </row>
    <row r="174" spans="1:7" x14ac:dyDescent="0.25">
      <c r="A174" s="11"/>
      <c r="B174" s="11"/>
      <c r="C174" s="11"/>
      <c r="D174" s="11"/>
      <c r="E174" s="11"/>
      <c r="F174" s="11"/>
      <c r="G174" s="11"/>
    </row>
    <row r="175" spans="1:7" x14ac:dyDescent="0.25">
      <c r="A175" s="11"/>
      <c r="B175" s="11"/>
      <c r="C175" s="11"/>
      <c r="D175" s="11"/>
      <c r="E175" s="11"/>
      <c r="F175" s="11"/>
      <c r="G175" s="11"/>
    </row>
    <row r="176" spans="1:7" x14ac:dyDescent="0.25">
      <c r="A176" s="11"/>
      <c r="B176" s="11"/>
      <c r="C176" s="11"/>
      <c r="D176" s="11"/>
      <c r="E176" s="11"/>
      <c r="F176" s="11"/>
      <c r="G176" s="11"/>
    </row>
    <row r="177" spans="1:7" x14ac:dyDescent="0.25">
      <c r="A177" s="11"/>
      <c r="B177" s="11"/>
      <c r="C177" s="11"/>
      <c r="D177" s="11"/>
      <c r="E177" s="11"/>
      <c r="F177" s="11"/>
      <c r="G177" s="11"/>
    </row>
    <row r="178" spans="1:7" x14ac:dyDescent="0.25">
      <c r="A178" s="11"/>
      <c r="B178" s="11"/>
      <c r="C178" s="11"/>
      <c r="D178" s="11"/>
      <c r="E178" s="11"/>
      <c r="F178" s="11"/>
      <c r="G178" s="11"/>
    </row>
    <row r="179" spans="1:7" x14ac:dyDescent="0.25">
      <c r="A179" s="11"/>
      <c r="B179" s="11"/>
      <c r="C179" s="11"/>
      <c r="D179" s="11"/>
      <c r="E179" s="11"/>
      <c r="F179" s="11"/>
      <c r="G179" s="11"/>
    </row>
    <row r="180" spans="1:7" x14ac:dyDescent="0.25">
      <c r="A180" s="11"/>
      <c r="B180" s="11"/>
      <c r="C180" s="11"/>
      <c r="D180" s="11"/>
      <c r="E180" s="11"/>
      <c r="F180" s="11"/>
      <c r="G180" s="11"/>
    </row>
    <row r="181" spans="1:7" x14ac:dyDescent="0.25">
      <c r="A181" s="11"/>
      <c r="B181" s="11"/>
      <c r="C181" s="11"/>
      <c r="D181" s="11"/>
      <c r="E181" s="11"/>
      <c r="F181" s="11"/>
      <c r="G181" s="11"/>
    </row>
    <row r="182" spans="1:7" x14ac:dyDescent="0.25">
      <c r="A182" s="11"/>
      <c r="B182" s="11"/>
      <c r="C182" s="11"/>
      <c r="D182" s="11"/>
      <c r="E182" s="11"/>
      <c r="F182" s="11"/>
      <c r="G182" s="11"/>
    </row>
    <row r="183" spans="1:7" x14ac:dyDescent="0.25">
      <c r="A183" s="11"/>
      <c r="B183" s="11"/>
      <c r="C183" s="11"/>
      <c r="D183" s="11"/>
      <c r="E183" s="11"/>
      <c r="F183" s="11"/>
      <c r="G183" s="11"/>
    </row>
    <row r="184" spans="1:7" x14ac:dyDescent="0.25">
      <c r="A184" s="11"/>
      <c r="B184" s="11"/>
      <c r="C184" s="11"/>
      <c r="D184" s="11"/>
      <c r="E184" s="11"/>
      <c r="F184" s="11"/>
      <c r="G184" s="11"/>
    </row>
    <row r="185" spans="1:7" x14ac:dyDescent="0.25">
      <c r="A185" s="11"/>
      <c r="B185" s="11"/>
      <c r="C185" s="11"/>
      <c r="D185" s="11"/>
      <c r="E185" s="11"/>
      <c r="F185" s="11"/>
      <c r="G185" s="11"/>
    </row>
    <row r="186" spans="1:7" x14ac:dyDescent="0.25">
      <c r="A186" s="11"/>
      <c r="B186" s="11"/>
      <c r="C186" s="11"/>
      <c r="D186" s="11"/>
      <c r="E186" s="11"/>
      <c r="F186" s="11"/>
      <c r="G186" s="11"/>
    </row>
    <row r="187" spans="1:7" x14ac:dyDescent="0.25">
      <c r="A187" s="11"/>
      <c r="B187" s="11"/>
      <c r="C187" s="11"/>
      <c r="D187" s="11"/>
      <c r="E187" s="11"/>
      <c r="F187" s="11"/>
      <c r="G187" s="11"/>
    </row>
    <row r="188" spans="1:7" x14ac:dyDescent="0.25">
      <c r="A188" s="11"/>
      <c r="B188" s="11"/>
      <c r="C188" s="11"/>
      <c r="D188" s="11"/>
      <c r="E188" s="11"/>
      <c r="F188" s="11"/>
      <c r="G188" s="11"/>
    </row>
    <row r="189" spans="1:7" x14ac:dyDescent="0.25">
      <c r="A189" s="11"/>
      <c r="B189" s="11"/>
      <c r="C189" s="11"/>
      <c r="D189" s="11"/>
      <c r="E189" s="11"/>
      <c r="F189" s="11"/>
      <c r="G189" s="11"/>
    </row>
    <row r="190" spans="1:7" x14ac:dyDescent="0.25">
      <c r="A190" s="11"/>
      <c r="B190" s="11"/>
      <c r="C190" s="11"/>
      <c r="D190" s="11"/>
      <c r="E190" s="11"/>
      <c r="F190" s="11"/>
      <c r="G190" s="11"/>
    </row>
    <row r="191" spans="1:7" x14ac:dyDescent="0.25">
      <c r="A191" s="11"/>
      <c r="B191" s="11"/>
      <c r="C191" s="11"/>
      <c r="D191" s="11"/>
      <c r="E191" s="11"/>
      <c r="F191" s="11"/>
      <c r="G191" s="11"/>
    </row>
    <row r="192" spans="1:7" x14ac:dyDescent="0.25">
      <c r="A192" s="11"/>
      <c r="B192" s="11"/>
      <c r="C192" s="11"/>
      <c r="D192" s="11"/>
      <c r="E192" s="11"/>
      <c r="F192" s="11"/>
      <c r="G192" s="11"/>
    </row>
    <row r="193" spans="1:7" x14ac:dyDescent="0.25">
      <c r="A193" s="11"/>
      <c r="B193" s="11"/>
      <c r="C193" s="11"/>
      <c r="D193" s="11"/>
      <c r="E193" s="11"/>
      <c r="F193" s="11"/>
      <c r="G193" s="11"/>
    </row>
    <row r="194" spans="1:7" x14ac:dyDescent="0.25">
      <c r="A194" s="11"/>
      <c r="B194" s="11"/>
      <c r="C194" s="11"/>
      <c r="D194" s="11"/>
      <c r="E194" s="11"/>
      <c r="F194" s="11"/>
      <c r="G194" s="11"/>
    </row>
    <row r="195" spans="1:7" x14ac:dyDescent="0.25">
      <c r="A195" s="11"/>
      <c r="B195" s="11"/>
      <c r="C195" s="11"/>
      <c r="D195" s="11"/>
      <c r="E195" s="11"/>
      <c r="F195" s="11"/>
      <c r="G195" s="11"/>
    </row>
    <row r="196" spans="1:7" x14ac:dyDescent="0.25">
      <c r="A196" s="11"/>
      <c r="B196" s="11"/>
      <c r="C196" s="11"/>
      <c r="D196" s="11"/>
      <c r="E196" s="11"/>
      <c r="F196" s="11"/>
      <c r="G196" s="11"/>
    </row>
    <row r="197" spans="1:7" x14ac:dyDescent="0.25">
      <c r="A197" s="11"/>
      <c r="B197" s="11"/>
      <c r="C197" s="11"/>
      <c r="D197" s="11"/>
      <c r="E197" s="11"/>
      <c r="F197" s="11"/>
      <c r="G197" s="11"/>
    </row>
    <row r="198" spans="1:7" x14ac:dyDescent="0.25">
      <c r="A198" s="11"/>
      <c r="B198" s="11"/>
      <c r="C198" s="11"/>
      <c r="D198" s="11"/>
      <c r="E198" s="11"/>
      <c r="F198" s="11"/>
      <c r="G198" s="11"/>
    </row>
    <row r="199" spans="1:7" x14ac:dyDescent="0.25">
      <c r="A199" s="11"/>
      <c r="B199" s="11"/>
      <c r="C199" s="11"/>
      <c r="D199" s="11"/>
      <c r="E199" s="11"/>
      <c r="F199" s="11"/>
      <c r="G199" s="11"/>
    </row>
    <row r="200" spans="1:7" x14ac:dyDescent="0.25">
      <c r="A200" s="11"/>
      <c r="B200" s="11"/>
      <c r="C200" s="11"/>
      <c r="D200" s="11"/>
      <c r="E200" s="11"/>
      <c r="F200" s="11"/>
      <c r="G200" s="11"/>
    </row>
    <row r="201" spans="1:7" x14ac:dyDescent="0.25">
      <c r="A201" s="11"/>
      <c r="B201" s="11"/>
      <c r="C201" s="11"/>
      <c r="D201" s="11"/>
      <c r="E201" s="11"/>
      <c r="F201" s="11"/>
      <c r="G201" s="11"/>
    </row>
    <row r="202" spans="1:7" x14ac:dyDescent="0.25">
      <c r="A202" s="11"/>
      <c r="B202" s="11"/>
      <c r="C202" s="11"/>
      <c r="D202" s="11"/>
      <c r="E202" s="11"/>
      <c r="F202" s="11"/>
      <c r="G202" s="11"/>
    </row>
    <row r="203" spans="1:7" x14ac:dyDescent="0.25">
      <c r="A203" s="11"/>
      <c r="B203" s="11"/>
      <c r="C203" s="11"/>
      <c r="D203" s="11"/>
      <c r="E203" s="11"/>
      <c r="F203" s="11"/>
      <c r="G203" s="11"/>
    </row>
    <row r="204" spans="1:7" x14ac:dyDescent="0.25">
      <c r="A204" s="11"/>
      <c r="B204" s="11"/>
      <c r="C204" s="11"/>
      <c r="D204" s="11"/>
      <c r="E204" s="11"/>
      <c r="F204" s="11"/>
      <c r="G204" s="11"/>
    </row>
    <row r="205" spans="1:7" x14ac:dyDescent="0.25">
      <c r="A205" s="11"/>
      <c r="B205" s="11"/>
      <c r="C205" s="11"/>
      <c r="D205" s="11"/>
      <c r="E205" s="11"/>
      <c r="F205" s="11"/>
      <c r="G205" s="11"/>
    </row>
    <row r="206" spans="1:7" x14ac:dyDescent="0.25">
      <c r="A206" s="11"/>
      <c r="B206" s="11"/>
      <c r="C206" s="11"/>
      <c r="D206" s="11"/>
      <c r="E206" s="11"/>
      <c r="F206" s="11"/>
      <c r="G206" s="11"/>
    </row>
    <row r="207" spans="1:7" x14ac:dyDescent="0.25">
      <c r="A207" s="11"/>
      <c r="B207" s="11"/>
      <c r="C207" s="11"/>
      <c r="D207" s="11"/>
      <c r="E207" s="11"/>
      <c r="F207" s="11"/>
      <c r="G207" s="11"/>
    </row>
    <row r="208" spans="1:7" x14ac:dyDescent="0.25">
      <c r="A208" s="11"/>
      <c r="B208" s="11"/>
      <c r="C208" s="11"/>
      <c r="D208" s="11"/>
      <c r="E208" s="11"/>
      <c r="F208" s="11"/>
      <c r="G208" s="11"/>
    </row>
    <row r="209" spans="1:7" x14ac:dyDescent="0.25">
      <c r="A209" s="11"/>
      <c r="B209" s="11"/>
      <c r="C209" s="11"/>
      <c r="D209" s="11"/>
      <c r="E209" s="11"/>
      <c r="F209" s="11"/>
      <c r="G209" s="11"/>
    </row>
    <row r="210" spans="1:7" x14ac:dyDescent="0.25">
      <c r="A210" s="11"/>
      <c r="B210" s="11"/>
      <c r="C210" s="11"/>
      <c r="D210" s="11"/>
      <c r="E210" s="11"/>
      <c r="F210" s="11"/>
      <c r="G210" s="11"/>
    </row>
    <row r="211" spans="1:7" x14ac:dyDescent="0.25">
      <c r="A211" s="11"/>
      <c r="B211" s="11"/>
      <c r="C211" s="11"/>
      <c r="D211" s="11"/>
      <c r="E211" s="11"/>
      <c r="F211" s="11"/>
      <c r="G211" s="11"/>
    </row>
    <row r="212" spans="1:7" x14ac:dyDescent="0.25">
      <c r="A212" s="11"/>
      <c r="B212" s="11"/>
      <c r="C212" s="11"/>
      <c r="D212" s="11"/>
      <c r="E212" s="11"/>
      <c r="F212" s="11"/>
      <c r="G212" s="11"/>
    </row>
    <row r="213" spans="1:7" x14ac:dyDescent="0.25">
      <c r="A213" s="11"/>
      <c r="B213" s="11"/>
      <c r="C213" s="11"/>
      <c r="D213" s="11"/>
      <c r="E213" s="11"/>
      <c r="F213" s="11"/>
      <c r="G213" s="11"/>
    </row>
    <row r="214" spans="1:7" x14ac:dyDescent="0.25">
      <c r="A214" s="11"/>
      <c r="B214" s="11"/>
      <c r="C214" s="11"/>
      <c r="D214" s="11"/>
      <c r="E214" s="11"/>
      <c r="F214" s="11"/>
      <c r="G214" s="11"/>
    </row>
    <row r="215" spans="1:7" x14ac:dyDescent="0.25">
      <c r="A215" s="11"/>
      <c r="B215" s="11"/>
      <c r="C215" s="11"/>
      <c r="D215" s="11"/>
      <c r="E215" s="11"/>
      <c r="F215" s="11"/>
      <c r="G215" s="11"/>
    </row>
    <row r="216" spans="1:7" x14ac:dyDescent="0.25">
      <c r="A216" s="11"/>
      <c r="B216" s="11"/>
      <c r="C216" s="11"/>
      <c r="D216" s="11"/>
      <c r="E216" s="11"/>
      <c r="F216" s="11"/>
      <c r="G216" s="11"/>
    </row>
    <row r="217" spans="1:7" x14ac:dyDescent="0.25">
      <c r="A217" s="11"/>
      <c r="B217" s="11"/>
      <c r="C217" s="11"/>
      <c r="D217" s="11"/>
      <c r="E217" s="11"/>
      <c r="F217" s="11"/>
      <c r="G217" s="11"/>
    </row>
    <row r="218" spans="1:7" x14ac:dyDescent="0.25">
      <c r="A218" s="11"/>
      <c r="B218" s="11"/>
      <c r="C218" s="11"/>
      <c r="D218" s="11"/>
      <c r="E218" s="11"/>
      <c r="F218" s="11"/>
      <c r="G218" s="11"/>
    </row>
    <row r="219" spans="1:7" x14ac:dyDescent="0.25">
      <c r="A219" s="11"/>
      <c r="B219" s="11"/>
      <c r="C219" s="11"/>
      <c r="D219" s="11"/>
      <c r="E219" s="11"/>
      <c r="F219" s="11"/>
      <c r="G219" s="11"/>
    </row>
    <row r="220" spans="1:7" x14ac:dyDescent="0.25">
      <c r="A220" s="11"/>
      <c r="B220" s="11"/>
      <c r="C220" s="11"/>
      <c r="D220" s="11"/>
      <c r="E220" s="11"/>
      <c r="F220" s="11"/>
      <c r="G220" s="11"/>
    </row>
    <row r="221" spans="1:7" x14ac:dyDescent="0.25">
      <c r="A221" s="11"/>
      <c r="B221" s="11"/>
      <c r="C221" s="11"/>
      <c r="D221" s="11"/>
      <c r="E221" s="11"/>
      <c r="F221" s="11"/>
      <c r="G221" s="11"/>
    </row>
    <row r="222" spans="1:7" x14ac:dyDescent="0.25">
      <c r="A222" s="11"/>
      <c r="B222" s="11"/>
      <c r="C222" s="11"/>
      <c r="D222" s="11"/>
      <c r="E222" s="11"/>
      <c r="F222" s="11"/>
      <c r="G222" s="11"/>
    </row>
    <row r="223" spans="1:7" x14ac:dyDescent="0.25">
      <c r="A223" s="11"/>
      <c r="B223" s="11"/>
      <c r="C223" s="11"/>
      <c r="D223" s="11"/>
      <c r="E223" s="11"/>
      <c r="F223" s="11"/>
      <c r="G223" s="11"/>
    </row>
    <row r="224" spans="1:7" x14ac:dyDescent="0.25">
      <c r="A224" s="11"/>
      <c r="B224" s="11"/>
      <c r="C224" s="11"/>
      <c r="D224" s="11"/>
      <c r="E224" s="11"/>
      <c r="F224" s="11"/>
      <c r="G224" s="11"/>
    </row>
    <row r="225" spans="1:7" x14ac:dyDescent="0.25">
      <c r="A225" s="11"/>
      <c r="B225" s="11"/>
      <c r="C225" s="11"/>
      <c r="D225" s="11"/>
      <c r="E225" s="11"/>
      <c r="F225" s="11"/>
      <c r="G225" s="11"/>
    </row>
    <row r="226" spans="1:7" x14ac:dyDescent="0.25">
      <c r="A226" s="11"/>
      <c r="B226" s="11"/>
      <c r="C226" s="11"/>
      <c r="D226" s="11"/>
      <c r="E226" s="11"/>
      <c r="F226" s="11"/>
      <c r="G226" s="11"/>
    </row>
    <row r="227" spans="1:7" x14ac:dyDescent="0.25">
      <c r="A227" s="11"/>
      <c r="B227" s="11"/>
      <c r="C227" s="11"/>
      <c r="D227" s="11"/>
      <c r="E227" s="11"/>
      <c r="F227" s="11"/>
      <c r="G227" s="11"/>
    </row>
    <row r="228" spans="1:7" x14ac:dyDescent="0.25">
      <c r="A228" s="11"/>
      <c r="B228" s="11"/>
      <c r="C228" s="11"/>
      <c r="D228" s="11"/>
      <c r="E228" s="11"/>
      <c r="F228" s="11"/>
      <c r="G228" s="11"/>
    </row>
    <row r="229" spans="1:7" x14ac:dyDescent="0.25">
      <c r="A229" s="11"/>
      <c r="B229" s="11"/>
      <c r="C229" s="11"/>
      <c r="D229" s="11"/>
      <c r="E229" s="11"/>
      <c r="F229" s="11"/>
      <c r="G229" s="11"/>
    </row>
    <row r="230" spans="1:7" x14ac:dyDescent="0.25">
      <c r="A230" s="11"/>
      <c r="B230" s="11"/>
      <c r="C230" s="11"/>
      <c r="D230" s="11"/>
      <c r="E230" s="11"/>
      <c r="F230" s="11"/>
      <c r="G230" s="11"/>
    </row>
    <row r="231" spans="1:7" x14ac:dyDescent="0.25">
      <c r="A231" s="11"/>
      <c r="B231" s="11"/>
      <c r="C231" s="11"/>
      <c r="D231" s="11"/>
      <c r="E231" s="11"/>
      <c r="F231" s="11"/>
      <c r="G231" s="11"/>
    </row>
    <row r="232" spans="1:7" x14ac:dyDescent="0.25">
      <c r="A232" s="11"/>
      <c r="B232" s="11"/>
      <c r="C232" s="11"/>
      <c r="D232" s="11"/>
      <c r="E232" s="11"/>
      <c r="F232" s="11"/>
      <c r="G232" s="11"/>
    </row>
    <row r="233" spans="1:7" x14ac:dyDescent="0.25">
      <c r="A233" s="11"/>
      <c r="B233" s="11"/>
      <c r="C233" s="11"/>
      <c r="D233" s="11"/>
      <c r="E233" s="11"/>
      <c r="F233" s="11"/>
      <c r="G233" s="11"/>
    </row>
    <row r="234" spans="1:7" x14ac:dyDescent="0.25">
      <c r="A234" s="11"/>
      <c r="B234" s="11"/>
      <c r="C234" s="11"/>
      <c r="D234" s="11"/>
      <c r="E234" s="11"/>
      <c r="F234" s="11"/>
      <c r="G234" s="11"/>
    </row>
    <row r="235" spans="1:7" x14ac:dyDescent="0.25">
      <c r="A235" s="11"/>
      <c r="B235" s="11"/>
      <c r="C235" s="11"/>
      <c r="D235" s="11"/>
      <c r="E235" s="11"/>
      <c r="F235" s="11"/>
      <c r="G235" s="11"/>
    </row>
    <row r="236" spans="1:7" x14ac:dyDescent="0.25">
      <c r="A236" s="11"/>
      <c r="B236" s="11"/>
      <c r="C236" s="11"/>
      <c r="D236" s="11"/>
      <c r="E236" s="11"/>
      <c r="F236" s="11"/>
      <c r="G236" s="11"/>
    </row>
    <row r="237" spans="1:7" x14ac:dyDescent="0.25">
      <c r="A237" s="11"/>
      <c r="B237" s="11"/>
      <c r="C237" s="11"/>
      <c r="D237" s="11"/>
      <c r="E237" s="11"/>
      <c r="F237" s="11"/>
      <c r="G237" s="11"/>
    </row>
    <row r="238" spans="1:7" x14ac:dyDescent="0.25">
      <c r="A238" s="11"/>
      <c r="B238" s="11"/>
      <c r="C238" s="11"/>
      <c r="D238" s="11"/>
      <c r="E238" s="11"/>
      <c r="F238" s="11"/>
      <c r="G238" s="11"/>
    </row>
    <row r="239" spans="1:7" x14ac:dyDescent="0.25">
      <c r="A239" s="11"/>
      <c r="B239" s="11"/>
      <c r="C239" s="11"/>
      <c r="D239" s="11"/>
      <c r="E239" s="11"/>
      <c r="F239" s="11"/>
      <c r="G239" s="11"/>
    </row>
    <row r="240" spans="1:7" x14ac:dyDescent="0.25">
      <c r="A240" s="11"/>
      <c r="B240" s="11"/>
      <c r="C240" s="11"/>
      <c r="D240" s="11"/>
      <c r="E240" s="11"/>
      <c r="F240" s="11"/>
      <c r="G240" s="11"/>
    </row>
    <row r="241" spans="1:7" x14ac:dyDescent="0.25">
      <c r="A241" s="11"/>
      <c r="B241" s="11"/>
      <c r="C241" s="11"/>
      <c r="D241" s="11"/>
      <c r="E241" s="11"/>
      <c r="F241" s="11"/>
      <c r="G241" s="11"/>
    </row>
    <row r="242" spans="1:7" x14ac:dyDescent="0.25">
      <c r="A242" s="11"/>
      <c r="B242" s="11"/>
      <c r="C242" s="11"/>
      <c r="D242" s="11"/>
      <c r="E242" s="11"/>
      <c r="F242" s="11"/>
      <c r="G242" s="11"/>
    </row>
    <row r="243" spans="1:7" x14ac:dyDescent="0.25">
      <c r="A243" s="11"/>
      <c r="B243" s="11"/>
      <c r="C243" s="11"/>
      <c r="D243" s="11"/>
      <c r="E243" s="11"/>
      <c r="F243" s="11"/>
      <c r="G243" s="11"/>
    </row>
    <row r="244" spans="1:7" x14ac:dyDescent="0.25">
      <c r="A244" s="11"/>
      <c r="B244" s="11"/>
      <c r="C244" s="11"/>
      <c r="D244" s="11"/>
      <c r="E244" s="11"/>
      <c r="F244" s="11"/>
      <c r="G244" s="11"/>
    </row>
    <row r="245" spans="1:7" x14ac:dyDescent="0.25">
      <c r="A245" s="11"/>
      <c r="B245" s="11"/>
      <c r="C245" s="11"/>
      <c r="D245" s="11"/>
      <c r="E245" s="11"/>
      <c r="F245" s="11"/>
      <c r="G245" s="11"/>
    </row>
    <row r="246" spans="1:7" x14ac:dyDescent="0.25">
      <c r="A246" s="11"/>
      <c r="B246" s="11"/>
      <c r="C246" s="11"/>
      <c r="D246" s="11"/>
      <c r="E246" s="11"/>
      <c r="F246" s="11"/>
      <c r="G246" s="11"/>
    </row>
    <row r="247" spans="1:7" x14ac:dyDescent="0.25">
      <c r="A247" s="11"/>
      <c r="B247" s="11"/>
      <c r="C247" s="11"/>
      <c r="D247" s="11"/>
      <c r="E247" s="11"/>
      <c r="F247" s="11"/>
      <c r="G247" s="11"/>
    </row>
    <row r="248" spans="1:7" x14ac:dyDescent="0.25">
      <c r="A248" s="11"/>
      <c r="B248" s="11"/>
      <c r="C248" s="11"/>
      <c r="D248" s="11"/>
      <c r="E248" s="11"/>
      <c r="F248" s="11"/>
      <c r="G248" s="11"/>
    </row>
    <row r="249" spans="1:7" x14ac:dyDescent="0.25">
      <c r="A249" s="11"/>
      <c r="B249" s="11"/>
      <c r="C249" s="11"/>
      <c r="D249" s="11"/>
      <c r="E249" s="11"/>
      <c r="F249" s="11"/>
      <c r="G249" s="11"/>
    </row>
    <row r="250" spans="1:7" x14ac:dyDescent="0.25">
      <c r="A250" s="11"/>
      <c r="B250" s="11"/>
      <c r="C250" s="11"/>
      <c r="D250" s="11"/>
      <c r="E250" s="11"/>
      <c r="F250" s="11"/>
      <c r="G250" s="11"/>
    </row>
    <row r="251" spans="1:7" x14ac:dyDescent="0.25">
      <c r="A251" s="11"/>
      <c r="B251" s="11"/>
      <c r="C251" s="11"/>
      <c r="D251" s="11"/>
      <c r="E251" s="11"/>
      <c r="F251" s="11"/>
      <c r="G251" s="11"/>
    </row>
    <row r="252" spans="1:7" x14ac:dyDescent="0.25">
      <c r="A252" s="11"/>
      <c r="B252" s="11"/>
      <c r="C252" s="11"/>
      <c r="D252" s="11"/>
      <c r="E252" s="11"/>
      <c r="F252" s="11"/>
      <c r="G252" s="11"/>
    </row>
    <row r="253" spans="1:7" x14ac:dyDescent="0.25">
      <c r="A253" s="11"/>
      <c r="B253" s="11"/>
      <c r="C253" s="11"/>
      <c r="D253" s="11"/>
      <c r="E253" s="11"/>
      <c r="F253" s="11"/>
      <c r="G253" s="11"/>
    </row>
    <row r="254" spans="1:7" x14ac:dyDescent="0.25">
      <c r="A254" s="11"/>
      <c r="B254" s="11"/>
      <c r="C254" s="11"/>
      <c r="D254" s="11"/>
      <c r="E254" s="11"/>
      <c r="F254" s="11"/>
      <c r="G254" s="11"/>
    </row>
    <row r="255" spans="1:7" x14ac:dyDescent="0.25">
      <c r="A255" s="11"/>
      <c r="B255" s="11"/>
      <c r="C255" s="11"/>
      <c r="D255" s="11"/>
      <c r="E255" s="11"/>
      <c r="F255" s="11"/>
      <c r="G255" s="11"/>
    </row>
    <row r="256" spans="1:7" x14ac:dyDescent="0.25">
      <c r="A256" s="11"/>
      <c r="B256" s="11"/>
      <c r="C256" s="11"/>
      <c r="D256" s="11"/>
      <c r="E256" s="11"/>
      <c r="F256" s="11"/>
      <c r="G256" s="11"/>
    </row>
    <row r="257" spans="1:7" x14ac:dyDescent="0.25">
      <c r="A257" s="11"/>
      <c r="B257" s="11"/>
      <c r="C257" s="11"/>
      <c r="D257" s="11"/>
      <c r="E257" s="11"/>
      <c r="F257" s="11"/>
      <c r="G257" s="11"/>
    </row>
    <row r="258" spans="1:7" x14ac:dyDescent="0.25">
      <c r="A258" s="11"/>
      <c r="B258" s="11"/>
      <c r="C258" s="11"/>
      <c r="D258" s="11"/>
      <c r="E258" s="11"/>
      <c r="F258" s="11"/>
      <c r="G258" s="11"/>
    </row>
    <row r="259" spans="1:7" x14ac:dyDescent="0.25">
      <c r="A259" s="11"/>
      <c r="B259" s="11"/>
      <c r="C259" s="11"/>
      <c r="D259" s="11"/>
      <c r="E259" s="11"/>
      <c r="F259" s="11"/>
      <c r="G259" s="11"/>
    </row>
    <row r="260" spans="1:7" x14ac:dyDescent="0.25">
      <c r="A260" s="11"/>
      <c r="B260" s="11"/>
      <c r="C260" s="11"/>
      <c r="D260" s="11"/>
      <c r="E260" s="11"/>
      <c r="F260" s="11"/>
      <c r="G260" s="11"/>
    </row>
    <row r="261" spans="1:7" x14ac:dyDescent="0.25">
      <c r="A261" s="11"/>
      <c r="B261" s="11"/>
      <c r="C261" s="11"/>
      <c r="D261" s="11"/>
      <c r="E261" s="11"/>
      <c r="F261" s="11"/>
      <c r="G261" s="11"/>
    </row>
    <row r="262" spans="1:7" x14ac:dyDescent="0.25">
      <c r="A262" s="11"/>
      <c r="B262" s="11"/>
      <c r="C262" s="11"/>
      <c r="D262" s="11"/>
      <c r="E262" s="11"/>
      <c r="F262" s="11"/>
      <c r="G262" s="11"/>
    </row>
    <row r="263" spans="1:7" x14ac:dyDescent="0.25">
      <c r="A263" s="11"/>
      <c r="B263" s="11"/>
      <c r="C263" s="11"/>
      <c r="D263" s="11"/>
      <c r="E263" s="11"/>
      <c r="F263" s="11"/>
      <c r="G263" s="11"/>
    </row>
    <row r="264" spans="1:7" x14ac:dyDescent="0.25">
      <c r="A264" s="11"/>
      <c r="B264" s="11"/>
      <c r="C264" s="11"/>
      <c r="D264" s="11"/>
      <c r="E264" s="11"/>
      <c r="F264" s="11"/>
      <c r="G264" s="11"/>
    </row>
    <row r="265" spans="1:7" x14ac:dyDescent="0.25">
      <c r="A265" s="11"/>
      <c r="B265" s="11"/>
      <c r="C265" s="11"/>
      <c r="D265" s="11"/>
      <c r="E265" s="11"/>
      <c r="F265" s="11"/>
      <c r="G265" s="11"/>
    </row>
    <row r="266" spans="1:7" x14ac:dyDescent="0.25">
      <c r="A266" s="11"/>
      <c r="B266" s="11"/>
      <c r="C266" s="11"/>
      <c r="D266" s="11"/>
      <c r="E266" s="11"/>
      <c r="F266" s="11"/>
      <c r="G266" s="11"/>
    </row>
    <row r="267" spans="1:7" x14ac:dyDescent="0.25">
      <c r="A267" s="11"/>
      <c r="B267" s="11"/>
      <c r="C267" s="11"/>
      <c r="D267" s="11"/>
      <c r="E267" s="11"/>
      <c r="F267" s="11"/>
      <c r="G267" s="11"/>
    </row>
    <row r="268" spans="1:7" x14ac:dyDescent="0.25">
      <c r="A268" s="11"/>
      <c r="B268" s="11"/>
      <c r="C268" s="11"/>
      <c r="D268" s="11"/>
      <c r="E268" s="11"/>
      <c r="F268" s="11"/>
      <c r="G268" s="11"/>
    </row>
    <row r="269" spans="1:7" x14ac:dyDescent="0.25">
      <c r="A269" s="11"/>
      <c r="B269" s="11"/>
      <c r="C269" s="11"/>
      <c r="D269" s="11"/>
      <c r="E269" s="11"/>
      <c r="F269" s="11"/>
      <c r="G269" s="11"/>
    </row>
    <row r="270" spans="1:7" x14ac:dyDescent="0.25">
      <c r="A270" s="11"/>
      <c r="B270" s="11"/>
      <c r="C270" s="11"/>
      <c r="D270" s="11"/>
      <c r="E270" s="11"/>
      <c r="F270" s="11"/>
      <c r="G270" s="11"/>
    </row>
    <row r="271" spans="1:7" x14ac:dyDescent="0.25">
      <c r="A271" s="11"/>
      <c r="B271" s="11"/>
      <c r="C271" s="11"/>
      <c r="D271" s="11"/>
      <c r="E271" s="11"/>
      <c r="F271" s="11"/>
      <c r="G271" s="11"/>
    </row>
    <row r="272" spans="1:7" x14ac:dyDescent="0.25">
      <c r="A272" s="11"/>
      <c r="B272" s="11"/>
      <c r="C272" s="11"/>
      <c r="D272" s="11"/>
      <c r="E272" s="11"/>
      <c r="F272" s="11"/>
      <c r="G272" s="11"/>
    </row>
    <row r="273" spans="1:7" x14ac:dyDescent="0.25">
      <c r="A273" s="11"/>
      <c r="B273" s="11"/>
      <c r="C273" s="11"/>
      <c r="D273" s="11"/>
      <c r="E273" s="11"/>
      <c r="F273" s="11"/>
      <c r="G273" s="11"/>
    </row>
    <row r="274" spans="1:7" x14ac:dyDescent="0.25">
      <c r="A274" s="11"/>
      <c r="B274" s="11"/>
      <c r="C274" s="11"/>
      <c r="D274" s="11"/>
      <c r="E274" s="11"/>
      <c r="F274" s="11"/>
      <c r="G274" s="11"/>
    </row>
    <row r="275" spans="1:7" x14ac:dyDescent="0.25">
      <c r="A275" s="11"/>
      <c r="B275" s="11"/>
      <c r="C275" s="11"/>
      <c r="D275" s="11"/>
      <c r="E275" s="11"/>
      <c r="F275" s="11"/>
      <c r="G275" s="11"/>
    </row>
    <row r="276" spans="1:7" x14ac:dyDescent="0.25">
      <c r="A276" s="11"/>
      <c r="B276" s="11"/>
      <c r="C276" s="11"/>
      <c r="D276" s="11"/>
      <c r="E276" s="11"/>
      <c r="F276" s="11"/>
      <c r="G276" s="11"/>
    </row>
    <row r="277" spans="1:7" x14ac:dyDescent="0.25">
      <c r="A277" s="11"/>
      <c r="B277" s="11"/>
      <c r="C277" s="11"/>
      <c r="D277" s="11"/>
      <c r="E277" s="11"/>
      <c r="F277" s="11"/>
      <c r="G277" s="11"/>
    </row>
    <row r="278" spans="1:7" x14ac:dyDescent="0.25">
      <c r="A278" s="11"/>
      <c r="B278" s="11"/>
      <c r="C278" s="11"/>
      <c r="D278" s="11"/>
      <c r="E278" s="11"/>
      <c r="F278" s="11"/>
      <c r="G278" s="11"/>
    </row>
    <row r="279" spans="1:7" x14ac:dyDescent="0.25">
      <c r="A279" s="11"/>
      <c r="B279" s="11"/>
      <c r="C279" s="11"/>
      <c r="D279" s="11"/>
      <c r="E279" s="11"/>
      <c r="F279" s="11"/>
      <c r="G279" s="11"/>
    </row>
    <row r="280" spans="1:7" x14ac:dyDescent="0.25">
      <c r="A280" s="11"/>
      <c r="B280" s="11"/>
      <c r="C280" s="11"/>
      <c r="D280" s="11"/>
      <c r="E280" s="11"/>
      <c r="F280" s="11"/>
      <c r="G280" s="11"/>
    </row>
    <row r="281" spans="1:7" x14ac:dyDescent="0.25">
      <c r="A281" s="11"/>
      <c r="B281" s="11"/>
      <c r="C281" s="11"/>
      <c r="D281" s="11"/>
      <c r="E281" s="11"/>
      <c r="F281" s="11"/>
      <c r="G281" s="11"/>
    </row>
    <row r="282" spans="1:7" x14ac:dyDescent="0.25">
      <c r="A282" s="11"/>
      <c r="B282" s="11"/>
      <c r="C282" s="11"/>
      <c r="D282" s="11"/>
      <c r="E282" s="11"/>
      <c r="F282" s="11"/>
      <c r="G282" s="11"/>
    </row>
    <row r="283" spans="1:7" x14ac:dyDescent="0.25">
      <c r="A283" s="11"/>
      <c r="B283" s="11"/>
      <c r="C283" s="11"/>
      <c r="D283" s="11"/>
      <c r="E283" s="11"/>
      <c r="F283" s="11"/>
      <c r="G283" s="11"/>
    </row>
    <row r="284" spans="1:7" x14ac:dyDescent="0.25">
      <c r="A284" s="11"/>
      <c r="B284" s="11"/>
      <c r="C284" s="11"/>
      <c r="D284" s="11"/>
      <c r="E284" s="11"/>
      <c r="F284" s="11"/>
      <c r="G284" s="11"/>
    </row>
    <row r="285" spans="1:7" x14ac:dyDescent="0.25">
      <c r="A285" s="11"/>
      <c r="B285" s="11"/>
      <c r="C285" s="11"/>
      <c r="D285" s="11"/>
      <c r="E285" s="11"/>
      <c r="F285" s="11"/>
      <c r="G285" s="11"/>
    </row>
    <row r="286" spans="1:7" x14ac:dyDescent="0.25">
      <c r="A286" s="11"/>
      <c r="B286" s="11"/>
      <c r="C286" s="11"/>
      <c r="D286" s="11"/>
      <c r="E286" s="11"/>
      <c r="F286" s="11"/>
      <c r="G286" s="11"/>
    </row>
    <row r="287" spans="1:7" x14ac:dyDescent="0.25">
      <c r="A287" s="11"/>
      <c r="B287" s="11"/>
      <c r="C287" s="11"/>
      <c r="D287" s="11"/>
      <c r="E287" s="11"/>
      <c r="F287" s="11"/>
      <c r="G287" s="11"/>
    </row>
    <row r="288" spans="1:7" x14ac:dyDescent="0.25">
      <c r="A288" s="11"/>
      <c r="B288" s="11"/>
      <c r="C288" s="11"/>
      <c r="D288" s="11"/>
      <c r="E288" s="11"/>
      <c r="F288" s="11"/>
      <c r="G288" s="11"/>
    </row>
    <row r="289" spans="1:7" x14ac:dyDescent="0.25">
      <c r="A289" s="11"/>
      <c r="B289" s="11"/>
      <c r="C289" s="11"/>
      <c r="D289" s="11"/>
      <c r="E289" s="11"/>
      <c r="F289" s="11"/>
      <c r="G289" s="11"/>
    </row>
    <row r="290" spans="1:7" x14ac:dyDescent="0.25">
      <c r="A290" s="11"/>
      <c r="B290" s="11"/>
      <c r="C290" s="11"/>
      <c r="D290" s="11"/>
      <c r="E290" s="11"/>
      <c r="F290" s="11"/>
      <c r="G290" s="11"/>
    </row>
    <row r="291" spans="1:7" x14ac:dyDescent="0.25">
      <c r="A291" s="11"/>
      <c r="B291" s="11"/>
      <c r="C291" s="11"/>
      <c r="D291" s="11"/>
      <c r="E291" s="11"/>
      <c r="F291" s="11"/>
      <c r="G291" s="11"/>
    </row>
    <row r="292" spans="1:7" x14ac:dyDescent="0.25">
      <c r="A292" s="11"/>
      <c r="B292" s="11"/>
      <c r="C292" s="11"/>
      <c r="D292" s="11"/>
      <c r="E292" s="11"/>
      <c r="F292" s="11"/>
      <c r="G292" s="11"/>
    </row>
    <row r="293" spans="1:7" x14ac:dyDescent="0.25">
      <c r="A293" s="11"/>
      <c r="B293" s="11"/>
      <c r="C293" s="11"/>
      <c r="D293" s="11"/>
      <c r="E293" s="11"/>
      <c r="F293" s="11"/>
      <c r="G293" s="11"/>
    </row>
    <row r="294" spans="1:7" x14ac:dyDescent="0.25">
      <c r="A294" s="11"/>
      <c r="B294" s="11"/>
      <c r="C294" s="11"/>
      <c r="D294" s="11"/>
      <c r="E294" s="11"/>
      <c r="F294" s="11"/>
      <c r="G294" s="11"/>
    </row>
    <row r="295" spans="1:7" x14ac:dyDescent="0.25">
      <c r="A295" s="11"/>
      <c r="B295" s="11"/>
      <c r="C295" s="11"/>
      <c r="D295" s="11"/>
      <c r="E295" s="11"/>
      <c r="F295" s="11"/>
      <c r="G295" s="11"/>
    </row>
    <row r="296" spans="1:7" x14ac:dyDescent="0.25">
      <c r="A296" s="11"/>
      <c r="B296" s="11"/>
      <c r="C296" s="11"/>
      <c r="D296" s="11"/>
      <c r="E296" s="11"/>
      <c r="F296" s="11"/>
      <c r="G296" s="11"/>
    </row>
    <row r="297" spans="1:7" x14ac:dyDescent="0.25">
      <c r="A297" s="11"/>
      <c r="B297" s="11"/>
      <c r="C297" s="11"/>
      <c r="D297" s="11"/>
      <c r="E297" s="11"/>
      <c r="F297" s="11"/>
      <c r="G297" s="11"/>
    </row>
    <row r="298" spans="1:7" x14ac:dyDescent="0.25">
      <c r="A298" s="11"/>
      <c r="B298" s="11"/>
      <c r="C298" s="11"/>
      <c r="D298" s="11"/>
      <c r="E298" s="11"/>
      <c r="F298" s="11"/>
      <c r="G298" s="11"/>
    </row>
    <row r="299" spans="1:7" x14ac:dyDescent="0.25">
      <c r="A299" s="11"/>
      <c r="B299" s="11"/>
      <c r="C299" s="11"/>
      <c r="D299" s="11"/>
      <c r="E299" s="11"/>
      <c r="F299" s="11"/>
      <c r="G299" s="11"/>
    </row>
    <row r="300" spans="1:7" x14ac:dyDescent="0.25">
      <c r="A300" s="11"/>
      <c r="B300" s="11"/>
      <c r="C300" s="11"/>
      <c r="D300" s="11"/>
      <c r="E300" s="11"/>
      <c r="F300" s="11"/>
      <c r="G300" s="11"/>
    </row>
    <row r="301" spans="1:7" x14ac:dyDescent="0.25">
      <c r="A301" s="11"/>
      <c r="B301" s="11"/>
      <c r="C301" s="11"/>
      <c r="D301" s="11"/>
      <c r="E301" s="11"/>
      <c r="F301" s="11"/>
      <c r="G301" s="11"/>
    </row>
    <row r="302" spans="1:7" x14ac:dyDescent="0.25">
      <c r="A302" s="11"/>
      <c r="B302" s="11"/>
      <c r="C302" s="11"/>
      <c r="D302" s="11"/>
      <c r="E302" s="11"/>
      <c r="F302" s="11"/>
      <c r="G302" s="11"/>
    </row>
    <row r="303" spans="1:7" x14ac:dyDescent="0.25">
      <c r="A303" s="11"/>
      <c r="B303" s="11"/>
      <c r="C303" s="11"/>
      <c r="D303" s="11"/>
      <c r="E303" s="11"/>
      <c r="F303" s="11"/>
      <c r="G303" s="11"/>
    </row>
    <row r="304" spans="1:7" x14ac:dyDescent="0.25">
      <c r="A304" s="11"/>
      <c r="B304" s="11"/>
      <c r="C304" s="11"/>
      <c r="D304" s="11"/>
      <c r="E304" s="11"/>
      <c r="F304" s="11"/>
      <c r="G304" s="11"/>
    </row>
    <row r="305" spans="1:7" x14ac:dyDescent="0.25">
      <c r="A305" s="11"/>
      <c r="B305" s="11"/>
      <c r="C305" s="11"/>
      <c r="D305" s="11"/>
      <c r="E305" s="11"/>
      <c r="F305" s="11"/>
      <c r="G305" s="11"/>
    </row>
    <row r="306" spans="1:7" x14ac:dyDescent="0.25">
      <c r="A306" s="11"/>
      <c r="B306" s="11"/>
      <c r="C306" s="11"/>
      <c r="D306" s="11"/>
      <c r="E306" s="11"/>
      <c r="F306" s="11"/>
      <c r="G306" s="11"/>
    </row>
    <row r="307" spans="1:7" x14ac:dyDescent="0.25">
      <c r="A307" s="11"/>
      <c r="B307" s="11"/>
      <c r="C307" s="11"/>
      <c r="D307" s="11"/>
      <c r="E307" s="11"/>
      <c r="F307" s="11"/>
      <c r="G307" s="11"/>
    </row>
    <row r="308" spans="1:7" x14ac:dyDescent="0.25">
      <c r="A308" s="11"/>
      <c r="B308" s="11"/>
      <c r="C308" s="11"/>
      <c r="D308" s="11"/>
      <c r="E308" s="11"/>
      <c r="F308" s="11"/>
      <c r="G308" s="11"/>
    </row>
    <row r="309" spans="1:7" x14ac:dyDescent="0.25">
      <c r="A309" s="11"/>
      <c r="B309" s="11"/>
      <c r="C309" s="11"/>
      <c r="D309" s="11"/>
      <c r="E309" s="11"/>
      <c r="F309" s="11"/>
      <c r="G309" s="11"/>
    </row>
    <row r="310" spans="1:7" x14ac:dyDescent="0.25">
      <c r="A310" s="11"/>
      <c r="B310" s="11"/>
      <c r="C310" s="11"/>
      <c r="D310" s="11"/>
      <c r="E310" s="11"/>
      <c r="F310" s="11"/>
      <c r="G310" s="11"/>
    </row>
    <row r="311" spans="1:7" x14ac:dyDescent="0.25">
      <c r="A311" s="11"/>
      <c r="B311" s="11"/>
      <c r="C311" s="11"/>
      <c r="D311" s="11"/>
      <c r="E311" s="11"/>
      <c r="F311" s="11"/>
      <c r="G311" s="11"/>
    </row>
    <row r="312" spans="1:7" x14ac:dyDescent="0.25">
      <c r="A312" s="11"/>
      <c r="B312" s="11"/>
      <c r="C312" s="11"/>
      <c r="D312" s="11"/>
      <c r="E312" s="11"/>
      <c r="F312" s="11"/>
      <c r="G312" s="11"/>
    </row>
    <row r="313" spans="1:7" x14ac:dyDescent="0.25">
      <c r="A313" s="11"/>
      <c r="B313" s="11"/>
      <c r="C313" s="11"/>
      <c r="D313" s="11"/>
      <c r="E313" s="11"/>
      <c r="F313" s="11"/>
      <c r="G313" s="11"/>
    </row>
    <row r="314" spans="1:7" x14ac:dyDescent="0.25">
      <c r="A314" s="11"/>
      <c r="B314" s="11"/>
      <c r="C314" s="11"/>
      <c r="D314" s="11"/>
      <c r="E314" s="11"/>
      <c r="F314" s="11"/>
      <c r="G314" s="11"/>
    </row>
    <row r="315" spans="1:7" x14ac:dyDescent="0.25">
      <c r="A315" s="11"/>
      <c r="B315" s="11"/>
      <c r="C315" s="11"/>
      <c r="D315" s="11"/>
      <c r="E315" s="11"/>
      <c r="F315" s="11"/>
      <c r="G315" s="11"/>
    </row>
    <row r="316" spans="1:7" x14ac:dyDescent="0.25">
      <c r="A316" s="11"/>
      <c r="B316" s="11"/>
      <c r="C316" s="11"/>
      <c r="D316" s="11"/>
      <c r="E316" s="11"/>
      <c r="F316" s="11"/>
      <c r="G316" s="11"/>
    </row>
    <row r="317" spans="1:7" x14ac:dyDescent="0.25">
      <c r="A317" s="11"/>
      <c r="B317" s="11"/>
      <c r="C317" s="11"/>
      <c r="D317" s="11"/>
      <c r="E317" s="11"/>
      <c r="F317" s="11"/>
      <c r="G317" s="11"/>
    </row>
    <row r="318" spans="1:7" x14ac:dyDescent="0.25">
      <c r="A318" s="11"/>
      <c r="B318" s="11"/>
      <c r="C318" s="11"/>
      <c r="D318" s="11"/>
      <c r="E318" s="11"/>
      <c r="F318" s="11"/>
      <c r="G318" s="11"/>
    </row>
    <row r="319" spans="1:7" x14ac:dyDescent="0.25">
      <c r="A319" s="11"/>
      <c r="B319" s="11"/>
      <c r="C319" s="11"/>
      <c r="D319" s="11"/>
      <c r="E319" s="11"/>
      <c r="F319" s="11"/>
      <c r="G319" s="11"/>
    </row>
    <row r="320" spans="1:7" x14ac:dyDescent="0.25">
      <c r="A320" s="11"/>
      <c r="B320" s="11"/>
      <c r="C320" s="11"/>
      <c r="D320" s="11"/>
      <c r="E320" s="11"/>
      <c r="F320" s="11"/>
      <c r="G320" s="11"/>
    </row>
    <row r="321" spans="1:7" x14ac:dyDescent="0.25">
      <c r="A321" s="11"/>
      <c r="B321" s="11"/>
      <c r="C321" s="11"/>
      <c r="D321" s="11"/>
      <c r="E321" s="11"/>
      <c r="F321" s="11"/>
      <c r="G321" s="11"/>
    </row>
    <row r="322" spans="1:7" x14ac:dyDescent="0.25">
      <c r="A322" s="11"/>
      <c r="B322" s="11"/>
      <c r="C322" s="11"/>
      <c r="D322" s="11"/>
      <c r="E322" s="11"/>
      <c r="F322" s="11"/>
      <c r="G322" s="11"/>
    </row>
    <row r="323" spans="1:7" x14ac:dyDescent="0.25">
      <c r="A323" s="11"/>
      <c r="B323" s="11"/>
      <c r="C323" s="11"/>
      <c r="D323" s="11"/>
      <c r="E323" s="11"/>
      <c r="F323" s="11"/>
      <c r="G323" s="11"/>
    </row>
    <row r="324" spans="1:7" x14ac:dyDescent="0.25">
      <c r="A324" s="11"/>
      <c r="B324" s="11"/>
      <c r="C324" s="11"/>
      <c r="D324" s="11"/>
      <c r="E324" s="11"/>
      <c r="F324" s="11"/>
      <c r="G324" s="11"/>
    </row>
    <row r="325" spans="1:7" x14ac:dyDescent="0.25">
      <c r="A325" s="11"/>
      <c r="B325" s="11"/>
      <c r="C325" s="11"/>
      <c r="D325" s="11"/>
      <c r="E325" s="11"/>
      <c r="F325" s="11"/>
      <c r="G325" s="11"/>
    </row>
    <row r="326" spans="1:7" x14ac:dyDescent="0.25">
      <c r="A326" s="11"/>
      <c r="B326" s="11"/>
      <c r="C326" s="11"/>
      <c r="D326" s="11"/>
      <c r="E326" s="11"/>
      <c r="F326" s="11"/>
      <c r="G326" s="11"/>
    </row>
    <row r="327" spans="1:7" x14ac:dyDescent="0.25">
      <c r="A327" s="11"/>
      <c r="B327" s="11"/>
      <c r="C327" s="11"/>
      <c r="D327" s="11"/>
      <c r="E327" s="11"/>
      <c r="F327" s="11"/>
      <c r="G327" s="11"/>
    </row>
    <row r="328" spans="1:7" x14ac:dyDescent="0.25">
      <c r="A328" s="11"/>
      <c r="B328" s="11"/>
      <c r="C328" s="11"/>
      <c r="D328" s="11"/>
      <c r="E328" s="11"/>
      <c r="F328" s="11"/>
      <c r="G328" s="11"/>
    </row>
    <row r="329" spans="1:7" x14ac:dyDescent="0.25">
      <c r="A329" s="11"/>
      <c r="B329" s="11"/>
      <c r="C329" s="11"/>
      <c r="D329" s="11"/>
      <c r="E329" s="11"/>
      <c r="F329" s="11"/>
      <c r="G329" s="11"/>
    </row>
    <row r="330" spans="1:7" x14ac:dyDescent="0.25">
      <c r="A330" s="11"/>
      <c r="B330" s="11"/>
      <c r="C330" s="11"/>
      <c r="D330" s="11"/>
      <c r="E330" s="11"/>
      <c r="F330" s="11"/>
      <c r="G330" s="11"/>
    </row>
    <row r="331" spans="1:7" x14ac:dyDescent="0.25">
      <c r="A331" s="11"/>
      <c r="B331" s="11"/>
      <c r="C331" s="11"/>
      <c r="D331" s="11"/>
      <c r="E331" s="11"/>
      <c r="F331" s="11"/>
      <c r="G331" s="11"/>
    </row>
    <row r="332" spans="1:7" x14ac:dyDescent="0.25">
      <c r="A332" s="11"/>
      <c r="B332" s="11"/>
      <c r="C332" s="11"/>
      <c r="D332" s="11"/>
      <c r="E332" s="11"/>
      <c r="F332" s="11"/>
      <c r="G332" s="11"/>
    </row>
    <row r="333" spans="1:7" x14ac:dyDescent="0.25">
      <c r="A333" s="11"/>
      <c r="B333" s="11"/>
      <c r="C333" s="11"/>
      <c r="D333" s="11"/>
      <c r="E333" s="11"/>
      <c r="F333" s="11"/>
      <c r="G333" s="11"/>
    </row>
    <row r="334" spans="1:7" x14ac:dyDescent="0.25">
      <c r="A334" s="11"/>
      <c r="B334" s="11"/>
      <c r="C334" s="11"/>
      <c r="D334" s="11"/>
      <c r="E334" s="11"/>
      <c r="F334" s="11"/>
      <c r="G334" s="11"/>
    </row>
    <row r="335" spans="1:7" x14ac:dyDescent="0.25">
      <c r="A335" s="11"/>
      <c r="B335" s="11"/>
      <c r="C335" s="11"/>
      <c r="D335" s="11"/>
      <c r="E335" s="11"/>
      <c r="F335" s="11"/>
      <c r="G335" s="11"/>
    </row>
    <row r="336" spans="1:7" x14ac:dyDescent="0.25">
      <c r="A336" s="11"/>
      <c r="B336" s="11"/>
      <c r="C336" s="11"/>
      <c r="D336" s="11"/>
      <c r="E336" s="11"/>
      <c r="F336" s="11"/>
      <c r="G336" s="11"/>
    </row>
    <row r="337" spans="1:7" x14ac:dyDescent="0.25">
      <c r="A337" s="11"/>
      <c r="B337" s="11"/>
      <c r="C337" s="11"/>
      <c r="D337" s="11"/>
      <c r="E337" s="11"/>
      <c r="F337" s="11"/>
      <c r="G337" s="11"/>
    </row>
    <row r="338" spans="1:7" x14ac:dyDescent="0.25">
      <c r="A338" s="11"/>
      <c r="B338" s="11"/>
      <c r="C338" s="11"/>
      <c r="D338" s="11"/>
      <c r="E338" s="11"/>
      <c r="F338" s="11"/>
      <c r="G338" s="11"/>
    </row>
    <row r="339" spans="1:7" x14ac:dyDescent="0.25">
      <c r="A339" s="11"/>
      <c r="B339" s="11"/>
      <c r="C339" s="11"/>
      <c r="D339" s="11"/>
      <c r="E339" s="11"/>
      <c r="F339" s="11"/>
      <c r="G339" s="11"/>
    </row>
    <row r="340" spans="1:7" x14ac:dyDescent="0.25">
      <c r="A340" s="11"/>
      <c r="B340" s="11"/>
      <c r="C340" s="11"/>
      <c r="D340" s="11"/>
      <c r="E340" s="11"/>
      <c r="F340" s="11"/>
      <c r="G340" s="11"/>
    </row>
    <row r="341" spans="1:7" x14ac:dyDescent="0.25">
      <c r="A341" s="11"/>
      <c r="B341" s="11"/>
      <c r="C341" s="11"/>
      <c r="D341" s="11"/>
      <c r="E341" s="11"/>
      <c r="F341" s="11"/>
      <c r="G341" s="11"/>
    </row>
    <row r="342" spans="1:7" x14ac:dyDescent="0.25">
      <c r="A342" s="11"/>
      <c r="B342" s="11"/>
      <c r="C342" s="11"/>
      <c r="D342" s="11"/>
      <c r="E342" s="11"/>
      <c r="F342" s="11"/>
      <c r="G342" s="11"/>
    </row>
    <row r="343" spans="1:7" x14ac:dyDescent="0.25">
      <c r="A343" s="11"/>
      <c r="B343" s="11"/>
      <c r="C343" s="11"/>
      <c r="D343" s="11"/>
      <c r="E343" s="11"/>
      <c r="F343" s="11"/>
      <c r="G343" s="11"/>
    </row>
    <row r="344" spans="1:7" x14ac:dyDescent="0.25">
      <c r="A344" s="11"/>
      <c r="B344" s="11"/>
      <c r="C344" s="11"/>
      <c r="D344" s="11"/>
      <c r="E344" s="11"/>
      <c r="F344" s="11"/>
      <c r="G344" s="11"/>
    </row>
    <row r="345" spans="1:7" x14ac:dyDescent="0.25">
      <c r="A345" s="11"/>
      <c r="B345" s="11"/>
      <c r="C345" s="11"/>
      <c r="D345" s="11"/>
      <c r="E345" s="11"/>
      <c r="F345" s="11"/>
      <c r="G345" s="11"/>
    </row>
    <row r="346" spans="1:7" x14ac:dyDescent="0.25">
      <c r="A346" s="11"/>
      <c r="B346" s="11"/>
      <c r="C346" s="11"/>
      <c r="D346" s="11"/>
      <c r="E346" s="11"/>
      <c r="F346" s="11"/>
      <c r="G346" s="11"/>
    </row>
    <row r="347" spans="1:7" x14ac:dyDescent="0.25">
      <c r="A347" s="11"/>
      <c r="B347" s="11"/>
      <c r="C347" s="11"/>
      <c r="D347" s="11"/>
      <c r="E347" s="11"/>
      <c r="F347" s="11"/>
      <c r="G347" s="11"/>
    </row>
    <row r="348" spans="1:7" x14ac:dyDescent="0.25">
      <c r="A348" s="11"/>
      <c r="B348" s="11"/>
      <c r="C348" s="11"/>
      <c r="D348" s="11"/>
      <c r="E348" s="11"/>
      <c r="F348" s="11"/>
      <c r="G348" s="11"/>
    </row>
    <row r="349" spans="1:7" x14ac:dyDescent="0.25">
      <c r="A349" s="11"/>
      <c r="B349" s="11"/>
      <c r="C349" s="11"/>
      <c r="D349" s="11"/>
      <c r="E349" s="11"/>
      <c r="F349" s="11"/>
      <c r="G349" s="11"/>
    </row>
    <row r="350" spans="1:7" x14ac:dyDescent="0.25">
      <c r="A350" s="11"/>
      <c r="B350" s="11"/>
      <c r="C350" s="11"/>
      <c r="D350" s="11"/>
      <c r="E350" s="11"/>
      <c r="F350" s="11"/>
      <c r="G350" s="11"/>
    </row>
    <row r="351" spans="1:7" x14ac:dyDescent="0.25">
      <c r="A351" s="11"/>
      <c r="B351" s="11"/>
      <c r="C351" s="11"/>
      <c r="D351" s="11"/>
      <c r="E351" s="11"/>
      <c r="F351" s="11"/>
      <c r="G351" s="11"/>
    </row>
    <row r="352" spans="1:7" x14ac:dyDescent="0.25">
      <c r="A352" s="11"/>
      <c r="B352" s="11"/>
      <c r="C352" s="11"/>
      <c r="D352" s="11"/>
      <c r="E352" s="11"/>
      <c r="F352" s="11"/>
      <c r="G352" s="11"/>
    </row>
    <row r="353" spans="1:7" x14ac:dyDescent="0.25">
      <c r="A353" s="11"/>
      <c r="B353" s="11"/>
      <c r="C353" s="11"/>
      <c r="D353" s="11"/>
      <c r="E353" s="11"/>
      <c r="F353" s="11"/>
      <c r="G353" s="11"/>
    </row>
    <row r="354" spans="1:7" x14ac:dyDescent="0.25">
      <c r="A354" s="11"/>
      <c r="B354" s="11"/>
      <c r="C354" s="11"/>
      <c r="D354" s="11"/>
      <c r="E354" s="11"/>
      <c r="F354" s="11"/>
      <c r="G354" s="11"/>
    </row>
    <row r="355" spans="1:7" x14ac:dyDescent="0.25">
      <c r="A355" s="11"/>
      <c r="B355" s="11"/>
      <c r="C355" s="11"/>
      <c r="D355" s="11"/>
      <c r="E355" s="11"/>
      <c r="F355" s="11"/>
      <c r="G355" s="11"/>
    </row>
    <row r="356" spans="1:7" x14ac:dyDescent="0.25">
      <c r="A356" s="11"/>
      <c r="B356" s="11"/>
      <c r="C356" s="11"/>
      <c r="D356" s="11"/>
      <c r="E356" s="11"/>
      <c r="F356" s="11"/>
      <c r="G356" s="11"/>
    </row>
    <row r="357" spans="1:7" x14ac:dyDescent="0.25">
      <c r="A357" s="11"/>
      <c r="B357" s="11"/>
      <c r="C357" s="11"/>
      <c r="D357" s="11"/>
      <c r="E357" s="11"/>
      <c r="F357" s="11"/>
      <c r="G357" s="11"/>
    </row>
    <row r="358" spans="1:7" x14ac:dyDescent="0.25">
      <c r="A358" s="11"/>
      <c r="B358" s="11"/>
      <c r="C358" s="11"/>
      <c r="D358" s="11"/>
      <c r="E358" s="11"/>
      <c r="F358" s="11"/>
      <c r="G358" s="11"/>
    </row>
    <row r="359" spans="1:7" x14ac:dyDescent="0.25">
      <c r="A359" s="11"/>
      <c r="B359" s="11"/>
      <c r="C359" s="11"/>
      <c r="D359" s="11"/>
      <c r="E359" s="11"/>
      <c r="F359" s="11"/>
      <c r="G359" s="11"/>
    </row>
    <row r="360" spans="1:7" x14ac:dyDescent="0.25">
      <c r="A360" s="11"/>
      <c r="B360" s="11"/>
      <c r="C360" s="11"/>
      <c r="D360" s="11"/>
      <c r="E360" s="11"/>
      <c r="F360" s="11"/>
      <c r="G360" s="11"/>
    </row>
    <row r="361" spans="1:7" x14ac:dyDescent="0.25">
      <c r="A361" s="11"/>
      <c r="B361" s="11"/>
      <c r="C361" s="11"/>
      <c r="D361" s="11"/>
      <c r="E361" s="11"/>
      <c r="F361" s="11"/>
      <c r="G361" s="11"/>
    </row>
    <row r="362" spans="1:7" x14ac:dyDescent="0.25">
      <c r="A362" s="11"/>
      <c r="B362" s="11"/>
      <c r="C362" s="11"/>
      <c r="D362" s="11"/>
      <c r="E362" s="11"/>
      <c r="F362" s="11"/>
      <c r="G362" s="11"/>
    </row>
    <row r="363" spans="1:7" x14ac:dyDescent="0.25">
      <c r="A363" s="11"/>
      <c r="B363" s="11"/>
      <c r="C363" s="11"/>
      <c r="D363" s="11"/>
      <c r="E363" s="11"/>
      <c r="F363" s="11"/>
      <c r="G363" s="11"/>
    </row>
    <row r="364" spans="1:7" x14ac:dyDescent="0.25">
      <c r="A364" s="11"/>
      <c r="B364" s="11"/>
      <c r="C364" s="11"/>
      <c r="D364" s="11"/>
      <c r="E364" s="11"/>
      <c r="F364" s="11"/>
      <c r="G364" s="11"/>
    </row>
    <row r="365" spans="1:7" x14ac:dyDescent="0.25">
      <c r="A365" s="11"/>
      <c r="B365" s="11"/>
      <c r="C365" s="11"/>
      <c r="D365" s="11"/>
      <c r="E365" s="11"/>
      <c r="F365" s="11"/>
      <c r="G365" s="11"/>
    </row>
    <row r="366" spans="1:7" x14ac:dyDescent="0.25">
      <c r="A366" s="11"/>
      <c r="B366" s="11"/>
      <c r="C366" s="11"/>
      <c r="D366" s="11"/>
      <c r="E366" s="11"/>
      <c r="F366" s="11"/>
      <c r="G366" s="11"/>
    </row>
    <row r="367" spans="1:7" x14ac:dyDescent="0.25">
      <c r="A367" s="11"/>
      <c r="B367" s="11"/>
      <c r="C367" s="11"/>
      <c r="D367" s="11"/>
      <c r="E367" s="11"/>
      <c r="F367" s="11"/>
      <c r="G367" s="11"/>
    </row>
    <row r="368" spans="1:7" x14ac:dyDescent="0.25">
      <c r="A368" s="11"/>
      <c r="B368" s="11"/>
      <c r="C368" s="11"/>
      <c r="D368" s="11"/>
      <c r="E368" s="11"/>
      <c r="F368" s="11"/>
      <c r="G368" s="11"/>
    </row>
    <row r="369" spans="1:7" x14ac:dyDescent="0.25">
      <c r="A369" s="11"/>
      <c r="B369" s="11"/>
      <c r="C369" s="11"/>
      <c r="D369" s="11"/>
      <c r="E369" s="11"/>
      <c r="F369" s="11"/>
      <c r="G369" s="11"/>
    </row>
    <row r="370" spans="1:7" x14ac:dyDescent="0.25">
      <c r="A370" s="11"/>
      <c r="B370" s="11"/>
      <c r="C370" s="11"/>
      <c r="D370" s="11"/>
      <c r="E370" s="11"/>
      <c r="F370" s="11"/>
      <c r="G370" s="11"/>
    </row>
    <row r="371" spans="1:7" x14ac:dyDescent="0.25">
      <c r="A371" s="11"/>
      <c r="B371" s="11"/>
      <c r="C371" s="11"/>
      <c r="D371" s="11"/>
      <c r="E371" s="11"/>
      <c r="F371" s="11"/>
      <c r="G371" s="11"/>
    </row>
    <row r="372" spans="1:7" x14ac:dyDescent="0.25">
      <c r="A372" s="11"/>
      <c r="B372" s="11"/>
      <c r="C372" s="11"/>
      <c r="D372" s="11"/>
      <c r="E372" s="11"/>
      <c r="F372" s="11"/>
      <c r="G372" s="11"/>
    </row>
    <row r="373" spans="1:7" x14ac:dyDescent="0.25">
      <c r="A373" s="11"/>
      <c r="B373" s="11"/>
      <c r="C373" s="11"/>
      <c r="D373" s="11"/>
      <c r="E373" s="11"/>
      <c r="F373" s="11"/>
      <c r="G373" s="11"/>
    </row>
    <row r="374" spans="1:7" x14ac:dyDescent="0.25">
      <c r="A374" s="11"/>
      <c r="B374" s="11"/>
      <c r="C374" s="11"/>
      <c r="D374" s="11"/>
      <c r="E374" s="11"/>
      <c r="F374" s="11"/>
      <c r="G374" s="11"/>
    </row>
    <row r="375" spans="1:7" x14ac:dyDescent="0.25">
      <c r="A375" s="11"/>
      <c r="B375" s="11"/>
      <c r="C375" s="11"/>
      <c r="D375" s="11"/>
      <c r="E375" s="11"/>
      <c r="F375" s="11"/>
      <c r="G375" s="11"/>
    </row>
    <row r="376" spans="1:7" x14ac:dyDescent="0.25">
      <c r="A376" s="11"/>
      <c r="B376" s="11"/>
      <c r="C376" s="11"/>
      <c r="D376" s="11"/>
      <c r="E376" s="11"/>
      <c r="F376" s="11"/>
      <c r="G376" s="11"/>
    </row>
    <row r="377" spans="1:7" x14ac:dyDescent="0.25">
      <c r="A377" s="11"/>
      <c r="B377" s="11"/>
      <c r="C377" s="11"/>
      <c r="D377" s="11"/>
      <c r="E377" s="11"/>
      <c r="F377" s="11"/>
      <c r="G377" s="11"/>
    </row>
    <row r="378" spans="1:7" x14ac:dyDescent="0.25">
      <c r="A378" s="11"/>
      <c r="B378" s="11"/>
      <c r="C378" s="11"/>
      <c r="D378" s="11"/>
      <c r="E378" s="11"/>
      <c r="F378" s="11"/>
      <c r="G378" s="11"/>
    </row>
    <row r="379" spans="1:7" x14ac:dyDescent="0.25">
      <c r="A379" s="11"/>
      <c r="B379" s="11"/>
      <c r="C379" s="11"/>
      <c r="D379" s="11"/>
      <c r="E379" s="11"/>
      <c r="F379" s="11"/>
      <c r="G379" s="11"/>
    </row>
    <row r="380" spans="1:7" x14ac:dyDescent="0.25">
      <c r="A380" s="11"/>
      <c r="B380" s="11"/>
      <c r="C380" s="11"/>
      <c r="D380" s="11"/>
      <c r="E380" s="11"/>
      <c r="F380" s="11"/>
      <c r="G380" s="11"/>
    </row>
    <row r="381" spans="1:7" x14ac:dyDescent="0.25">
      <c r="A381" s="11"/>
      <c r="B381" s="11"/>
      <c r="C381" s="11"/>
      <c r="D381" s="11"/>
      <c r="E381" s="11"/>
      <c r="F381" s="11"/>
      <c r="G381" s="11"/>
    </row>
    <row r="382" spans="1:7" x14ac:dyDescent="0.25">
      <c r="A382" s="11"/>
      <c r="B382" s="11"/>
      <c r="C382" s="11"/>
      <c r="D382" s="11"/>
      <c r="E382" s="11"/>
      <c r="F382" s="11"/>
      <c r="G382" s="11"/>
    </row>
    <row r="383" spans="1:7" x14ac:dyDescent="0.25">
      <c r="A383" s="11"/>
      <c r="B383" s="11"/>
      <c r="C383" s="11"/>
      <c r="D383" s="11"/>
      <c r="E383" s="11"/>
      <c r="F383" s="11"/>
      <c r="G383" s="11"/>
    </row>
    <row r="384" spans="1:7" x14ac:dyDescent="0.25">
      <c r="A384" s="11"/>
      <c r="B384" s="11"/>
      <c r="C384" s="11"/>
      <c r="D384" s="11"/>
      <c r="E384" s="11"/>
      <c r="F384" s="11"/>
      <c r="G384" s="11"/>
    </row>
    <row r="385" spans="1:7" x14ac:dyDescent="0.25">
      <c r="A385" s="11"/>
      <c r="B385" s="11"/>
      <c r="C385" s="11"/>
      <c r="D385" s="11"/>
      <c r="E385" s="11"/>
      <c r="F385" s="11"/>
      <c r="G385" s="11"/>
    </row>
    <row r="386" spans="1:7" x14ac:dyDescent="0.25">
      <c r="A386" s="11"/>
      <c r="B386" s="11"/>
      <c r="C386" s="11"/>
      <c r="D386" s="11"/>
      <c r="E386" s="11"/>
      <c r="F386" s="11"/>
      <c r="G386" s="11"/>
    </row>
    <row r="387" spans="1:7" x14ac:dyDescent="0.25">
      <c r="A387" s="11"/>
      <c r="B387" s="11"/>
      <c r="C387" s="11"/>
      <c r="D387" s="11"/>
      <c r="E387" s="11"/>
      <c r="F387" s="11"/>
      <c r="G387" s="11"/>
    </row>
    <row r="388" spans="1:7" x14ac:dyDescent="0.25">
      <c r="A388" s="11"/>
      <c r="B388" s="11"/>
      <c r="C388" s="11"/>
      <c r="D388" s="11"/>
      <c r="E388" s="11"/>
      <c r="F388" s="11"/>
      <c r="G388" s="11"/>
    </row>
    <row r="389" spans="1:7" x14ac:dyDescent="0.25">
      <c r="A389" s="11"/>
      <c r="B389" s="11"/>
      <c r="C389" s="11"/>
      <c r="D389" s="11"/>
      <c r="E389" s="11"/>
      <c r="F389" s="11"/>
      <c r="G389" s="11"/>
    </row>
    <row r="390" spans="1:7" x14ac:dyDescent="0.25">
      <c r="A390" s="11"/>
      <c r="B390" s="11"/>
      <c r="C390" s="11"/>
      <c r="D390" s="11"/>
      <c r="E390" s="11"/>
      <c r="F390" s="11"/>
      <c r="G390" s="11"/>
    </row>
    <row r="391" spans="1:7" x14ac:dyDescent="0.25">
      <c r="A391" s="11"/>
      <c r="B391" s="11"/>
      <c r="C391" s="11"/>
      <c r="D391" s="11"/>
      <c r="E391" s="11"/>
      <c r="F391" s="11"/>
      <c r="G391" s="11"/>
    </row>
    <row r="392" spans="1:7" x14ac:dyDescent="0.25">
      <c r="A392" s="11"/>
      <c r="B392" s="11"/>
      <c r="C392" s="11"/>
      <c r="D392" s="11"/>
      <c r="E392" s="11"/>
      <c r="F392" s="11"/>
      <c r="G392" s="11"/>
    </row>
    <row r="393" spans="1:7" x14ac:dyDescent="0.25">
      <c r="A393" s="11"/>
      <c r="B393" s="11"/>
      <c r="C393" s="11"/>
      <c r="D393" s="11"/>
      <c r="E393" s="11"/>
      <c r="F393" s="11"/>
      <c r="G393" s="11"/>
    </row>
    <row r="394" spans="1:7" x14ac:dyDescent="0.25">
      <c r="A394" s="11"/>
      <c r="B394" s="11"/>
      <c r="C394" s="11"/>
      <c r="D394" s="11"/>
      <c r="E394" s="11"/>
      <c r="F394" s="11"/>
      <c r="G394" s="11"/>
    </row>
    <row r="395" spans="1:7" x14ac:dyDescent="0.25">
      <c r="A395" s="11"/>
      <c r="B395" s="11"/>
      <c r="C395" s="11"/>
      <c r="D395" s="11"/>
      <c r="E395" s="11"/>
      <c r="F395" s="11"/>
      <c r="G395" s="11"/>
    </row>
    <row r="396" spans="1:7" x14ac:dyDescent="0.25">
      <c r="A396" s="11"/>
      <c r="B396" s="11"/>
      <c r="C396" s="11"/>
      <c r="D396" s="11"/>
      <c r="E396" s="11"/>
      <c r="F396" s="11"/>
      <c r="G396" s="11"/>
    </row>
    <row r="397" spans="1:7" x14ac:dyDescent="0.25">
      <c r="A397" s="11"/>
      <c r="B397" s="11"/>
      <c r="C397" s="11"/>
      <c r="D397" s="11"/>
      <c r="E397" s="11"/>
      <c r="F397" s="11"/>
      <c r="G397" s="11"/>
    </row>
    <row r="398" spans="1:7" x14ac:dyDescent="0.25">
      <c r="A398" s="11"/>
      <c r="B398" s="11"/>
      <c r="C398" s="11"/>
      <c r="D398" s="11"/>
      <c r="E398" s="11"/>
      <c r="F398" s="11"/>
      <c r="G398" s="11"/>
    </row>
    <row r="399" spans="1:7" x14ac:dyDescent="0.25">
      <c r="A399" s="11"/>
      <c r="B399" s="11"/>
      <c r="C399" s="11"/>
      <c r="D399" s="11"/>
      <c r="E399" s="11"/>
      <c r="F399" s="11"/>
      <c r="G399" s="11"/>
    </row>
    <row r="400" spans="1:7" x14ac:dyDescent="0.25">
      <c r="A400" s="11"/>
      <c r="B400" s="11"/>
      <c r="C400" s="11"/>
      <c r="D400" s="11"/>
      <c r="E400" s="11"/>
      <c r="F400" s="11"/>
      <c r="G400" s="11"/>
    </row>
    <row r="401" spans="1:7" x14ac:dyDescent="0.25">
      <c r="A401" s="11"/>
      <c r="B401" s="11"/>
      <c r="C401" s="11"/>
      <c r="D401" s="11"/>
      <c r="E401" s="11"/>
      <c r="F401" s="11"/>
      <c r="G401" s="11"/>
    </row>
    <row r="402" spans="1:7" x14ac:dyDescent="0.25">
      <c r="A402" s="11"/>
      <c r="B402" s="11"/>
      <c r="C402" s="11"/>
      <c r="D402" s="11"/>
      <c r="E402" s="11"/>
      <c r="F402" s="11"/>
      <c r="G402" s="11"/>
    </row>
    <row r="403" spans="1:7" x14ac:dyDescent="0.25">
      <c r="A403" s="11"/>
      <c r="B403" s="11"/>
      <c r="C403" s="11"/>
      <c r="D403" s="11"/>
      <c r="E403" s="11"/>
      <c r="F403" s="11"/>
      <c r="G403" s="11"/>
    </row>
    <row r="404" spans="1:7" x14ac:dyDescent="0.25">
      <c r="A404" s="11"/>
      <c r="B404" s="11"/>
      <c r="C404" s="11"/>
      <c r="D404" s="11"/>
      <c r="E404" s="11"/>
      <c r="F404" s="11"/>
      <c r="G404" s="11"/>
    </row>
    <row r="405" spans="1:7" x14ac:dyDescent="0.25">
      <c r="A405" s="11"/>
      <c r="B405" s="11"/>
      <c r="C405" s="11"/>
      <c r="D405" s="11"/>
      <c r="E405" s="11"/>
      <c r="F405" s="11"/>
      <c r="G405" s="11"/>
    </row>
    <row r="406" spans="1:7" x14ac:dyDescent="0.25">
      <c r="A406" s="11"/>
      <c r="B406" s="11"/>
      <c r="C406" s="11"/>
      <c r="D406" s="11"/>
      <c r="E406" s="11"/>
      <c r="F406" s="11"/>
      <c r="G406" s="11"/>
    </row>
    <row r="407" spans="1:7" x14ac:dyDescent="0.25">
      <c r="A407" s="11"/>
      <c r="B407" s="11"/>
      <c r="C407" s="11"/>
      <c r="D407" s="11"/>
      <c r="E407" s="11"/>
      <c r="F407" s="11"/>
      <c r="G407" s="11"/>
    </row>
    <row r="408" spans="1:7" x14ac:dyDescent="0.25">
      <c r="A408" s="11"/>
      <c r="B408" s="11"/>
      <c r="C408" s="11"/>
      <c r="D408" s="11"/>
      <c r="E408" s="11"/>
      <c r="F408" s="11"/>
      <c r="G408" s="11"/>
    </row>
    <row r="409" spans="1:7" x14ac:dyDescent="0.25">
      <c r="A409" s="11"/>
      <c r="B409" s="11"/>
      <c r="C409" s="11"/>
      <c r="D409" s="11"/>
      <c r="E409" s="11"/>
      <c r="F409" s="11"/>
      <c r="G409" s="11"/>
    </row>
    <row r="410" spans="1:7" x14ac:dyDescent="0.25">
      <c r="A410" s="11"/>
      <c r="B410" s="11"/>
      <c r="C410" s="11"/>
      <c r="D410" s="11"/>
      <c r="E410" s="11"/>
      <c r="F410" s="11"/>
      <c r="G410" s="11"/>
    </row>
    <row r="411" spans="1:7" x14ac:dyDescent="0.25">
      <c r="A411" s="11"/>
      <c r="B411" s="11"/>
      <c r="C411" s="11"/>
      <c r="D411" s="11"/>
      <c r="E411" s="11"/>
      <c r="F411" s="11"/>
      <c r="G411" s="11"/>
    </row>
    <row r="412" spans="1:7" x14ac:dyDescent="0.25">
      <c r="A412" s="11"/>
      <c r="B412" s="11"/>
      <c r="C412" s="11"/>
      <c r="D412" s="11"/>
      <c r="E412" s="11"/>
      <c r="F412" s="11"/>
      <c r="G412" s="11"/>
    </row>
    <row r="413" spans="1:7" x14ac:dyDescent="0.25">
      <c r="A413" s="11"/>
      <c r="B413" s="11"/>
      <c r="C413" s="11"/>
      <c r="D413" s="11"/>
      <c r="E413" s="11"/>
      <c r="F413" s="11"/>
      <c r="G413" s="11"/>
    </row>
    <row r="414" spans="1:7" x14ac:dyDescent="0.25">
      <c r="A414" s="11"/>
      <c r="B414" s="11"/>
      <c r="C414" s="11"/>
      <c r="D414" s="11"/>
      <c r="E414" s="11"/>
      <c r="F414" s="11"/>
      <c r="G414" s="11"/>
    </row>
    <row r="415" spans="1:7" x14ac:dyDescent="0.25">
      <c r="A415" s="11"/>
      <c r="B415" s="11"/>
      <c r="C415" s="11"/>
      <c r="D415" s="11"/>
      <c r="E415" s="11"/>
      <c r="F415" s="11"/>
      <c r="G415" s="11"/>
    </row>
    <row r="416" spans="1:7" x14ac:dyDescent="0.25">
      <c r="A416" s="11"/>
      <c r="B416" s="11"/>
      <c r="C416" s="11"/>
      <c r="D416" s="11"/>
      <c r="E416" s="11"/>
      <c r="F416" s="11"/>
      <c r="G416" s="11"/>
    </row>
    <row r="417" spans="1:7" x14ac:dyDescent="0.25">
      <c r="A417" s="11"/>
      <c r="B417" s="11"/>
      <c r="C417" s="11"/>
      <c r="D417" s="11"/>
      <c r="E417" s="11"/>
      <c r="F417" s="11"/>
      <c r="G417" s="11"/>
    </row>
    <row r="418" spans="1:7" x14ac:dyDescent="0.25">
      <c r="A418" s="11"/>
      <c r="B418" s="11"/>
      <c r="C418" s="11"/>
      <c r="D418" s="11"/>
      <c r="E418" s="11"/>
      <c r="F418" s="11"/>
      <c r="G418" s="11"/>
    </row>
    <row r="419" spans="1:7" x14ac:dyDescent="0.25">
      <c r="A419" s="11"/>
      <c r="B419" s="11"/>
      <c r="C419" s="11"/>
      <c r="D419" s="11"/>
      <c r="E419" s="11"/>
      <c r="F419" s="11"/>
      <c r="G419" s="11"/>
    </row>
    <row r="420" spans="1:7" x14ac:dyDescent="0.25">
      <c r="A420" s="11"/>
      <c r="B420" s="11"/>
      <c r="C420" s="11"/>
      <c r="D420" s="11"/>
      <c r="E420" s="11"/>
      <c r="F420" s="11"/>
      <c r="G420" s="11"/>
    </row>
    <row r="421" spans="1:7" x14ac:dyDescent="0.25">
      <c r="A421" s="11"/>
      <c r="B421" s="11"/>
      <c r="C421" s="11"/>
      <c r="D421" s="11"/>
      <c r="E421" s="11"/>
      <c r="F421" s="11"/>
      <c r="G421" s="11"/>
    </row>
    <row r="422" spans="1:7" x14ac:dyDescent="0.25">
      <c r="A422" s="11"/>
      <c r="B422" s="11"/>
      <c r="C422" s="11"/>
      <c r="D422" s="11"/>
      <c r="E422" s="11"/>
      <c r="F422" s="11"/>
      <c r="G422" s="11"/>
    </row>
    <row r="423" spans="1:7" x14ac:dyDescent="0.25">
      <c r="A423" s="11"/>
      <c r="B423" s="11"/>
      <c r="C423" s="11"/>
      <c r="D423" s="11"/>
      <c r="E423" s="11"/>
      <c r="F423" s="11"/>
      <c r="G423" s="11"/>
    </row>
    <row r="424" spans="1:7" x14ac:dyDescent="0.25">
      <c r="A424" s="11"/>
      <c r="B424" s="11"/>
      <c r="C424" s="11"/>
      <c r="D424" s="11"/>
      <c r="E424" s="11"/>
      <c r="F424" s="11"/>
      <c r="G424" s="11"/>
    </row>
    <row r="425" spans="1:7" x14ac:dyDescent="0.25">
      <c r="A425" s="11"/>
      <c r="B425" s="11"/>
      <c r="C425" s="11"/>
      <c r="D425" s="11"/>
      <c r="E425" s="11"/>
      <c r="F425" s="11"/>
      <c r="G425" s="11"/>
    </row>
    <row r="426" spans="1:7" x14ac:dyDescent="0.25">
      <c r="A426" s="11"/>
      <c r="B426" s="11"/>
      <c r="C426" s="11"/>
      <c r="D426" s="11"/>
      <c r="E426" s="11"/>
      <c r="F426" s="11"/>
      <c r="G426" s="11"/>
    </row>
    <row r="427" spans="1:7" x14ac:dyDescent="0.25">
      <c r="A427" s="11"/>
      <c r="B427" s="11"/>
      <c r="C427" s="11"/>
      <c r="D427" s="11"/>
      <c r="E427" s="11"/>
      <c r="F427" s="11"/>
      <c r="G427" s="11"/>
    </row>
    <row r="428" spans="1:7" x14ac:dyDescent="0.25">
      <c r="A428" s="11"/>
      <c r="B428" s="11"/>
      <c r="C428" s="11"/>
      <c r="D428" s="11"/>
      <c r="E428" s="11"/>
      <c r="F428" s="11"/>
      <c r="G428" s="11"/>
    </row>
    <row r="429" spans="1:7" x14ac:dyDescent="0.25">
      <c r="A429" s="11"/>
      <c r="B429" s="11"/>
      <c r="C429" s="11"/>
      <c r="D429" s="11"/>
      <c r="E429" s="11"/>
      <c r="F429" s="11"/>
      <c r="G429" s="11"/>
    </row>
    <row r="430" spans="1:7" x14ac:dyDescent="0.25">
      <c r="A430" s="11"/>
      <c r="B430" s="11"/>
      <c r="C430" s="11"/>
      <c r="D430" s="11"/>
      <c r="E430" s="11"/>
      <c r="F430" s="11"/>
      <c r="G430" s="11"/>
    </row>
    <row r="431" spans="1:7" x14ac:dyDescent="0.25">
      <c r="A431" s="11"/>
      <c r="B431" s="11"/>
      <c r="C431" s="11"/>
      <c r="D431" s="11"/>
      <c r="E431" s="11"/>
      <c r="F431" s="11"/>
      <c r="G431" s="11"/>
    </row>
    <row r="432" spans="1:7" x14ac:dyDescent="0.25">
      <c r="A432" s="11"/>
      <c r="B432" s="11"/>
      <c r="C432" s="11"/>
      <c r="D432" s="11"/>
      <c r="E432" s="11"/>
      <c r="F432" s="11"/>
      <c r="G432" s="11"/>
    </row>
    <row r="433" spans="1:7" x14ac:dyDescent="0.25">
      <c r="A433" s="11"/>
      <c r="B433" s="11"/>
      <c r="C433" s="11"/>
      <c r="D433" s="11"/>
      <c r="E433" s="11"/>
      <c r="F433" s="11"/>
      <c r="G433" s="11"/>
    </row>
    <row r="434" spans="1:7" x14ac:dyDescent="0.25">
      <c r="A434" s="11"/>
      <c r="B434" s="11"/>
      <c r="C434" s="11"/>
      <c r="D434" s="11"/>
      <c r="E434" s="11"/>
      <c r="F434" s="11"/>
      <c r="G434" s="11"/>
    </row>
    <row r="435" spans="1:7" x14ac:dyDescent="0.25">
      <c r="A435" s="11"/>
      <c r="B435" s="11"/>
      <c r="C435" s="11"/>
      <c r="D435" s="11"/>
      <c r="E435" s="11"/>
      <c r="F435" s="11"/>
      <c r="G435" s="11"/>
    </row>
    <row r="436" spans="1:7" x14ac:dyDescent="0.25">
      <c r="A436" s="11"/>
      <c r="B436" s="11"/>
      <c r="C436" s="11"/>
      <c r="D436" s="11"/>
      <c r="E436" s="11"/>
      <c r="F436" s="11"/>
      <c r="G436" s="11"/>
    </row>
    <row r="437" spans="1:7" x14ac:dyDescent="0.25">
      <c r="A437" s="11"/>
      <c r="B437" s="11"/>
      <c r="C437" s="11"/>
      <c r="D437" s="11"/>
      <c r="E437" s="11"/>
      <c r="F437" s="11"/>
      <c r="G437" s="11"/>
    </row>
    <row r="438" spans="1:7" x14ac:dyDescent="0.25">
      <c r="A438" s="11"/>
      <c r="B438" s="11"/>
      <c r="C438" s="11"/>
      <c r="D438" s="11"/>
      <c r="E438" s="11"/>
      <c r="F438" s="11"/>
      <c r="G438" s="11"/>
    </row>
    <row r="439" spans="1:7" x14ac:dyDescent="0.25">
      <c r="A439" s="11"/>
      <c r="B439" s="11"/>
      <c r="C439" s="11"/>
      <c r="D439" s="11"/>
      <c r="E439" s="11"/>
      <c r="F439" s="11"/>
      <c r="G439" s="11"/>
    </row>
    <row r="440" spans="1:7" x14ac:dyDescent="0.25">
      <c r="A440" s="11"/>
      <c r="B440" s="11"/>
      <c r="C440" s="11"/>
      <c r="D440" s="11"/>
      <c r="E440" s="11"/>
      <c r="F440" s="11"/>
      <c r="G440" s="11"/>
    </row>
    <row r="441" spans="1:7" x14ac:dyDescent="0.25">
      <c r="A441" s="11"/>
      <c r="B441" s="11"/>
      <c r="C441" s="11"/>
      <c r="D441" s="11"/>
      <c r="E441" s="11"/>
      <c r="F441" s="11"/>
      <c r="G441" s="11"/>
    </row>
    <row r="442" spans="1:7" x14ac:dyDescent="0.25">
      <c r="A442" s="11"/>
      <c r="B442" s="11"/>
      <c r="C442" s="11"/>
      <c r="D442" s="11"/>
      <c r="E442" s="11"/>
      <c r="F442" s="11"/>
      <c r="G442" s="11"/>
    </row>
    <row r="443" spans="1:7" x14ac:dyDescent="0.25">
      <c r="A443" s="11"/>
      <c r="B443" s="11"/>
      <c r="C443" s="11"/>
      <c r="D443" s="11"/>
      <c r="E443" s="11"/>
      <c r="F443" s="11"/>
      <c r="G443" s="11"/>
    </row>
    <row r="444" spans="1:7" x14ac:dyDescent="0.25">
      <c r="A444" s="11"/>
      <c r="B444" s="11"/>
      <c r="C444" s="11"/>
      <c r="D444" s="11"/>
      <c r="E444" s="11"/>
      <c r="F444" s="11"/>
      <c r="G444" s="11"/>
    </row>
    <row r="445" spans="1:7" x14ac:dyDescent="0.25">
      <c r="A445" s="11"/>
      <c r="B445" s="11"/>
      <c r="C445" s="11"/>
      <c r="D445" s="11"/>
      <c r="E445" s="11"/>
      <c r="F445" s="11"/>
      <c r="G445" s="11"/>
    </row>
    <row r="446" spans="1:7" x14ac:dyDescent="0.25">
      <c r="A446" s="11"/>
      <c r="B446" s="11"/>
      <c r="C446" s="11"/>
      <c r="D446" s="11"/>
      <c r="E446" s="11"/>
      <c r="F446" s="11"/>
      <c r="G446" s="11"/>
    </row>
    <row r="447" spans="1:7" x14ac:dyDescent="0.25">
      <c r="A447" s="11"/>
      <c r="B447" s="11"/>
      <c r="C447" s="11"/>
      <c r="D447" s="11"/>
      <c r="E447" s="11"/>
      <c r="F447" s="11"/>
      <c r="G447" s="11"/>
    </row>
    <row r="448" spans="1:7" x14ac:dyDescent="0.25">
      <c r="A448" s="11"/>
      <c r="B448" s="11"/>
      <c r="C448" s="11"/>
      <c r="D448" s="11"/>
      <c r="E448" s="11"/>
      <c r="F448" s="11"/>
      <c r="G448" s="11"/>
    </row>
    <row r="449" spans="1:7" x14ac:dyDescent="0.25">
      <c r="A449" s="11"/>
      <c r="B449" s="11"/>
      <c r="C449" s="11"/>
      <c r="D449" s="11"/>
      <c r="E449" s="11"/>
      <c r="F449" s="11"/>
      <c r="G449" s="11"/>
    </row>
    <row r="450" spans="1:7" x14ac:dyDescent="0.25">
      <c r="A450" s="11"/>
      <c r="B450" s="11"/>
      <c r="C450" s="11"/>
      <c r="D450" s="11"/>
      <c r="E450" s="11"/>
      <c r="F450" s="11"/>
      <c r="G450" s="11"/>
    </row>
    <row r="451" spans="1:7" x14ac:dyDescent="0.25">
      <c r="A451" s="11"/>
      <c r="B451" s="11"/>
      <c r="C451" s="11"/>
      <c r="D451" s="11"/>
      <c r="E451" s="11"/>
      <c r="F451" s="11"/>
      <c r="G451" s="11"/>
    </row>
    <row r="452" spans="1:7" x14ac:dyDescent="0.25">
      <c r="A452" s="11"/>
      <c r="B452" s="11"/>
      <c r="C452" s="11"/>
      <c r="D452" s="11"/>
      <c r="E452" s="11"/>
      <c r="F452" s="11"/>
      <c r="G452" s="11"/>
    </row>
    <row r="453" spans="1:7" x14ac:dyDescent="0.25">
      <c r="A453" s="11"/>
      <c r="B453" s="11"/>
      <c r="C453" s="11"/>
      <c r="D453" s="11"/>
      <c r="E453" s="11"/>
      <c r="F453" s="11"/>
      <c r="G453" s="11"/>
    </row>
    <row r="454" spans="1:7" x14ac:dyDescent="0.25">
      <c r="A454" s="11"/>
      <c r="B454" s="11"/>
      <c r="C454" s="11"/>
      <c r="D454" s="11"/>
      <c r="E454" s="11"/>
      <c r="F454" s="11"/>
      <c r="G454" s="11"/>
    </row>
    <row r="455" spans="1:7" x14ac:dyDescent="0.25">
      <c r="A455" s="11"/>
      <c r="B455" s="11"/>
      <c r="C455" s="11"/>
      <c r="D455" s="11"/>
      <c r="E455" s="11"/>
      <c r="F455" s="11"/>
      <c r="G455" s="11"/>
    </row>
    <row r="456" spans="1:7" x14ac:dyDescent="0.25">
      <c r="A456" s="11"/>
      <c r="B456" s="11"/>
      <c r="C456" s="11"/>
      <c r="D456" s="11"/>
      <c r="E456" s="11"/>
      <c r="F456" s="11"/>
      <c r="G456" s="11"/>
    </row>
    <row r="457" spans="1:7" x14ac:dyDescent="0.25">
      <c r="A457" s="11"/>
      <c r="B457" s="11"/>
      <c r="C457" s="11"/>
      <c r="D457" s="11"/>
      <c r="E457" s="11"/>
      <c r="F457" s="11"/>
      <c r="G457" s="11"/>
    </row>
    <row r="458" spans="1:7" x14ac:dyDescent="0.25">
      <c r="A458" s="11"/>
      <c r="B458" s="11"/>
      <c r="C458" s="11"/>
      <c r="D458" s="11"/>
      <c r="E458" s="11"/>
      <c r="F458" s="11"/>
      <c r="G458" s="11"/>
    </row>
    <row r="459" spans="1:7" x14ac:dyDescent="0.25">
      <c r="A459" s="11"/>
      <c r="B459" s="11"/>
      <c r="C459" s="11"/>
      <c r="D459" s="11"/>
      <c r="E459" s="11"/>
      <c r="F459" s="11"/>
      <c r="G459" s="11"/>
    </row>
    <row r="460" spans="1:7" x14ac:dyDescent="0.25">
      <c r="A460" s="11"/>
      <c r="B460" s="11"/>
      <c r="C460" s="11"/>
      <c r="D460" s="11"/>
      <c r="E460" s="11"/>
      <c r="F460" s="11"/>
      <c r="G460" s="11"/>
    </row>
    <row r="461" spans="1:7" x14ac:dyDescent="0.25">
      <c r="A461" s="11"/>
      <c r="B461" s="11"/>
      <c r="C461" s="11"/>
      <c r="D461" s="11"/>
      <c r="E461" s="11"/>
      <c r="F461" s="11"/>
      <c r="G461" s="11"/>
    </row>
    <row r="462" spans="1:7" x14ac:dyDescent="0.25">
      <c r="A462" s="11"/>
      <c r="B462" s="11"/>
      <c r="C462" s="11"/>
      <c r="D462" s="11"/>
      <c r="E462" s="11"/>
      <c r="F462" s="11"/>
      <c r="G462" s="11"/>
    </row>
    <row r="463" spans="1:7" x14ac:dyDescent="0.25">
      <c r="A463" s="11"/>
      <c r="B463" s="11"/>
      <c r="C463" s="11"/>
      <c r="D463" s="11"/>
      <c r="E463" s="11"/>
      <c r="F463" s="11"/>
      <c r="G463" s="11"/>
    </row>
    <row r="464" spans="1:7" x14ac:dyDescent="0.25">
      <c r="A464" s="11"/>
      <c r="B464" s="11"/>
      <c r="C464" s="11"/>
      <c r="D464" s="11"/>
      <c r="E464" s="11"/>
      <c r="F464" s="11"/>
      <c r="G464" s="11"/>
    </row>
    <row r="465" spans="1:7" x14ac:dyDescent="0.25">
      <c r="A465" s="11"/>
      <c r="B465" s="11"/>
      <c r="C465" s="11"/>
      <c r="D465" s="11"/>
      <c r="E465" s="11"/>
      <c r="F465" s="11"/>
      <c r="G465" s="11"/>
    </row>
    <row r="466" spans="1:7" x14ac:dyDescent="0.25">
      <c r="A466" s="11"/>
      <c r="B466" s="11"/>
      <c r="C466" s="11"/>
      <c r="D466" s="11"/>
      <c r="E466" s="11"/>
      <c r="F466" s="11"/>
      <c r="G466" s="11"/>
    </row>
    <row r="467" spans="1:7" x14ac:dyDescent="0.25">
      <c r="A467" s="11"/>
      <c r="B467" s="11"/>
      <c r="C467" s="11"/>
      <c r="D467" s="11"/>
      <c r="E467" s="11"/>
      <c r="F467" s="11"/>
      <c r="G467" s="11"/>
    </row>
    <row r="468" spans="1:7" x14ac:dyDescent="0.25">
      <c r="A468" s="11"/>
      <c r="B468" s="11"/>
      <c r="C468" s="11"/>
      <c r="D468" s="11"/>
      <c r="E468" s="11"/>
      <c r="F468" s="11"/>
      <c r="G468" s="11"/>
    </row>
    <row r="469" spans="1:7" x14ac:dyDescent="0.25">
      <c r="A469" s="11"/>
      <c r="B469" s="11"/>
      <c r="C469" s="11"/>
      <c r="D469" s="11"/>
      <c r="E469" s="11"/>
      <c r="F469" s="11"/>
      <c r="G469" s="11"/>
    </row>
    <row r="470" spans="1:7" x14ac:dyDescent="0.25">
      <c r="A470" s="11"/>
      <c r="B470" s="11"/>
      <c r="C470" s="11"/>
      <c r="D470" s="11"/>
      <c r="E470" s="11"/>
      <c r="F470" s="11"/>
      <c r="G470" s="11"/>
    </row>
    <row r="471" spans="1:7" x14ac:dyDescent="0.25">
      <c r="A471" s="11"/>
      <c r="B471" s="11"/>
      <c r="C471" s="11"/>
      <c r="D471" s="11"/>
      <c r="E471" s="11"/>
      <c r="F471" s="11"/>
      <c r="G471" s="11"/>
    </row>
    <row r="472" spans="1:7" x14ac:dyDescent="0.25">
      <c r="A472" s="11"/>
      <c r="B472" s="11"/>
      <c r="C472" s="11"/>
      <c r="D472" s="11"/>
      <c r="E472" s="11"/>
      <c r="F472" s="11"/>
      <c r="G472" s="11"/>
    </row>
    <row r="473" spans="1:7" x14ac:dyDescent="0.25">
      <c r="A473" s="11"/>
      <c r="B473" s="11"/>
      <c r="C473" s="11"/>
      <c r="D473" s="11"/>
      <c r="E473" s="11"/>
      <c r="F473" s="11"/>
      <c r="G473" s="11"/>
    </row>
    <row r="474" spans="1:7" x14ac:dyDescent="0.25">
      <c r="A474" s="11"/>
      <c r="B474" s="11"/>
      <c r="C474" s="11"/>
      <c r="D474" s="11"/>
      <c r="E474" s="11"/>
      <c r="F474" s="11"/>
      <c r="G474" s="11"/>
    </row>
    <row r="475" spans="1:7" x14ac:dyDescent="0.25">
      <c r="A475" s="11"/>
      <c r="B475" s="11"/>
      <c r="C475" s="11"/>
      <c r="D475" s="11"/>
      <c r="E475" s="11"/>
      <c r="F475" s="11"/>
      <c r="G475" s="11"/>
    </row>
    <row r="476" spans="1:7" x14ac:dyDescent="0.25">
      <c r="A476" s="11"/>
      <c r="B476" s="11"/>
      <c r="C476" s="11"/>
      <c r="D476" s="11"/>
      <c r="E476" s="11"/>
      <c r="F476" s="11"/>
      <c r="G476" s="11"/>
    </row>
    <row r="477" spans="1:7" x14ac:dyDescent="0.25">
      <c r="A477" s="11"/>
      <c r="B477" s="11"/>
      <c r="C477" s="11"/>
      <c r="D477" s="11"/>
      <c r="E477" s="11"/>
      <c r="F477" s="11"/>
      <c r="G477" s="11"/>
    </row>
    <row r="478" spans="1:7" x14ac:dyDescent="0.25">
      <c r="A478" s="11"/>
      <c r="B478" s="11"/>
      <c r="C478" s="11"/>
      <c r="D478" s="11"/>
      <c r="E478" s="11"/>
      <c r="F478" s="11"/>
      <c r="G478" s="11"/>
    </row>
    <row r="479" spans="1:7" x14ac:dyDescent="0.25">
      <c r="A479" s="11"/>
      <c r="B479" s="11"/>
      <c r="C479" s="11"/>
      <c r="D479" s="11"/>
      <c r="E479" s="11"/>
      <c r="F479" s="11"/>
      <c r="G479" s="11"/>
    </row>
    <row r="480" spans="1:7" x14ac:dyDescent="0.25">
      <c r="A480" s="11"/>
      <c r="B480" s="11"/>
      <c r="C480" s="11"/>
      <c r="D480" s="11"/>
      <c r="E480" s="11"/>
      <c r="F480" s="11"/>
      <c r="G480" s="11"/>
    </row>
    <row r="481" spans="1:7" x14ac:dyDescent="0.25">
      <c r="A481" s="11"/>
      <c r="B481" s="11"/>
      <c r="C481" s="11"/>
      <c r="D481" s="11"/>
      <c r="E481" s="11"/>
      <c r="F481" s="11"/>
      <c r="G481" s="11"/>
    </row>
    <row r="482" spans="1:7" x14ac:dyDescent="0.25">
      <c r="A482" s="11"/>
      <c r="B482" s="11"/>
      <c r="C482" s="11"/>
      <c r="D482" s="11"/>
      <c r="E482" s="11"/>
      <c r="F482" s="11"/>
      <c r="G482" s="11"/>
    </row>
    <row r="483" spans="1:7" x14ac:dyDescent="0.25">
      <c r="A483" s="11"/>
      <c r="B483" s="11"/>
      <c r="C483" s="11"/>
      <c r="D483" s="11"/>
      <c r="E483" s="11"/>
      <c r="F483" s="11"/>
      <c r="G483" s="11"/>
    </row>
    <row r="484" spans="1:7" x14ac:dyDescent="0.25">
      <c r="A484" s="11"/>
      <c r="B484" s="11"/>
      <c r="C484" s="11"/>
      <c r="D484" s="11"/>
      <c r="E484" s="11"/>
      <c r="F484" s="11"/>
      <c r="G484" s="11"/>
    </row>
    <row r="485" spans="1:7" x14ac:dyDescent="0.25">
      <c r="A485" s="11"/>
      <c r="B485" s="11"/>
      <c r="C485" s="11"/>
      <c r="D485" s="11"/>
      <c r="E485" s="11"/>
      <c r="F485" s="11"/>
      <c r="G485" s="11"/>
    </row>
    <row r="486" spans="1:7" x14ac:dyDescent="0.25">
      <c r="A486" s="11"/>
      <c r="B486" s="11"/>
      <c r="C486" s="11"/>
      <c r="D486" s="11"/>
      <c r="E486" s="11"/>
      <c r="F486" s="11"/>
      <c r="G486" s="11"/>
    </row>
    <row r="487" spans="1:7" x14ac:dyDescent="0.25">
      <c r="A487" s="11"/>
      <c r="B487" s="11"/>
      <c r="C487" s="11"/>
      <c r="D487" s="11"/>
      <c r="E487" s="11"/>
      <c r="F487" s="11"/>
      <c r="G487" s="11"/>
    </row>
    <row r="488" spans="1:7" x14ac:dyDescent="0.25">
      <c r="A488" s="11"/>
      <c r="B488" s="11"/>
      <c r="C488" s="11"/>
      <c r="D488" s="11"/>
      <c r="E488" s="11"/>
      <c r="F488" s="11"/>
      <c r="G488" s="11"/>
    </row>
    <row r="489" spans="1:7" x14ac:dyDescent="0.25">
      <c r="A489" s="11"/>
      <c r="B489" s="11"/>
      <c r="C489" s="11"/>
      <c r="D489" s="11"/>
      <c r="E489" s="11"/>
      <c r="F489" s="11"/>
      <c r="G489" s="11"/>
    </row>
    <row r="490" spans="1:7" x14ac:dyDescent="0.25">
      <c r="A490" s="11"/>
      <c r="B490" s="11"/>
      <c r="C490" s="11"/>
      <c r="D490" s="11"/>
      <c r="E490" s="11"/>
      <c r="F490" s="11"/>
      <c r="G490" s="11"/>
    </row>
    <row r="491" spans="1:7" x14ac:dyDescent="0.25">
      <c r="A491" s="11"/>
      <c r="B491" s="11"/>
      <c r="C491" s="11"/>
      <c r="D491" s="11"/>
      <c r="E491" s="11"/>
      <c r="F491" s="11"/>
      <c r="G491" s="11"/>
    </row>
    <row r="492" spans="1:7" x14ac:dyDescent="0.25">
      <c r="A492" s="11"/>
      <c r="B492" s="11"/>
      <c r="C492" s="11"/>
      <c r="D492" s="11"/>
      <c r="E492" s="11"/>
      <c r="F492" s="11"/>
      <c r="G492" s="11"/>
    </row>
    <row r="493" spans="1:7" x14ac:dyDescent="0.25">
      <c r="A493" s="11"/>
      <c r="B493" s="11"/>
      <c r="C493" s="11"/>
      <c r="D493" s="11"/>
      <c r="E493" s="11"/>
      <c r="F493" s="11"/>
      <c r="G493" s="11"/>
    </row>
    <row r="494" spans="1:7" x14ac:dyDescent="0.25">
      <c r="A494" s="11"/>
      <c r="B494" s="11"/>
      <c r="C494" s="11"/>
      <c r="D494" s="11"/>
      <c r="E494" s="11"/>
      <c r="F494" s="11"/>
      <c r="G494" s="11"/>
    </row>
    <row r="495" spans="1:7" x14ac:dyDescent="0.25">
      <c r="A495" s="11"/>
      <c r="B495" s="11"/>
      <c r="C495" s="11"/>
      <c r="D495" s="11"/>
      <c r="E495" s="11"/>
      <c r="F495" s="11"/>
      <c r="G495" s="11"/>
    </row>
    <row r="496" spans="1:7" x14ac:dyDescent="0.25">
      <c r="A496" s="11"/>
      <c r="B496" s="11"/>
      <c r="C496" s="11"/>
      <c r="D496" s="11"/>
      <c r="E496" s="11"/>
      <c r="F496" s="11"/>
      <c r="G496" s="11"/>
    </row>
    <row r="497" spans="1:7" x14ac:dyDescent="0.25">
      <c r="A497" s="11"/>
      <c r="B497" s="11"/>
      <c r="C497" s="11"/>
      <c r="D497" s="11"/>
      <c r="E497" s="11"/>
      <c r="F497" s="11"/>
      <c r="G497" s="11"/>
    </row>
    <row r="498" spans="1:7" x14ac:dyDescent="0.25">
      <c r="A498" s="11"/>
      <c r="B498" s="11"/>
      <c r="C498" s="11"/>
      <c r="D498" s="11"/>
      <c r="E498" s="11"/>
      <c r="F498" s="11"/>
      <c r="G498" s="11"/>
    </row>
    <row r="499" spans="1:7" x14ac:dyDescent="0.25">
      <c r="A499" s="11"/>
      <c r="B499" s="11"/>
      <c r="C499" s="11"/>
      <c r="D499" s="11"/>
      <c r="E499" s="11"/>
      <c r="F499" s="11"/>
      <c r="G499" s="11"/>
    </row>
    <row r="500" spans="1:7" x14ac:dyDescent="0.25">
      <c r="A500" s="11"/>
      <c r="B500" s="11"/>
      <c r="C500" s="11"/>
      <c r="D500" s="11"/>
      <c r="E500" s="11"/>
      <c r="F500" s="11"/>
      <c r="G500" s="11"/>
    </row>
    <row r="501" spans="1:7" x14ac:dyDescent="0.25">
      <c r="A501" s="11"/>
      <c r="B501" s="11"/>
      <c r="C501" s="11"/>
      <c r="D501" s="11"/>
      <c r="E501" s="11"/>
      <c r="F501" s="11"/>
      <c r="G501" s="11"/>
    </row>
    <row r="502" spans="1:7" x14ac:dyDescent="0.25">
      <c r="A502" s="11"/>
      <c r="B502" s="11"/>
      <c r="C502" s="11"/>
      <c r="D502" s="11"/>
      <c r="E502" s="11"/>
      <c r="F502" s="11"/>
      <c r="G502" s="11"/>
    </row>
    <row r="503" spans="1:7" x14ac:dyDescent="0.25">
      <c r="A503" s="11"/>
      <c r="B503" s="11"/>
      <c r="C503" s="11"/>
      <c r="D503" s="11"/>
      <c r="E503" s="11"/>
      <c r="F503" s="11"/>
      <c r="G503" s="11"/>
    </row>
    <row r="504" spans="1:7" x14ac:dyDescent="0.25">
      <c r="A504" s="11"/>
      <c r="B504" s="11"/>
      <c r="C504" s="11"/>
      <c r="D504" s="11"/>
      <c r="E504" s="11"/>
      <c r="F504" s="11"/>
      <c r="G504" s="11"/>
    </row>
    <row r="505" spans="1:7" x14ac:dyDescent="0.25">
      <c r="A505" s="11"/>
      <c r="B505" s="11"/>
      <c r="C505" s="11"/>
      <c r="D505" s="11"/>
      <c r="E505" s="11"/>
      <c r="F505" s="11"/>
      <c r="G505" s="11"/>
    </row>
    <row r="506" spans="1:7" x14ac:dyDescent="0.25">
      <c r="A506" s="11"/>
      <c r="B506" s="11"/>
      <c r="C506" s="11"/>
      <c r="D506" s="11"/>
      <c r="E506" s="11"/>
      <c r="F506" s="11"/>
      <c r="G506" s="11"/>
    </row>
    <row r="507" spans="1:7" x14ac:dyDescent="0.25">
      <c r="A507" s="11"/>
      <c r="B507" s="11"/>
      <c r="C507" s="11"/>
      <c r="D507" s="11"/>
      <c r="E507" s="11"/>
      <c r="F507" s="11"/>
      <c r="G507" s="11"/>
    </row>
    <row r="508" spans="1:7" x14ac:dyDescent="0.25">
      <c r="A508" s="11"/>
      <c r="B508" s="11"/>
      <c r="C508" s="11"/>
      <c r="D508" s="11"/>
      <c r="E508" s="11"/>
      <c r="F508" s="11"/>
      <c r="G508" s="11"/>
    </row>
    <row r="509" spans="1:7" x14ac:dyDescent="0.25">
      <c r="A509" s="11"/>
      <c r="B509" s="11"/>
      <c r="C509" s="11"/>
      <c r="D509" s="11"/>
      <c r="E509" s="11"/>
      <c r="F509" s="11"/>
      <c r="G509" s="11"/>
    </row>
    <row r="510" spans="1:7" x14ac:dyDescent="0.25">
      <c r="A510" s="11"/>
      <c r="B510" s="11"/>
      <c r="C510" s="11"/>
      <c r="D510" s="11"/>
      <c r="E510" s="11"/>
      <c r="F510" s="11"/>
      <c r="G510" s="11"/>
    </row>
    <row r="511" spans="1:7" x14ac:dyDescent="0.25">
      <c r="A511" s="11"/>
      <c r="B511" s="11"/>
      <c r="C511" s="11"/>
      <c r="D511" s="11"/>
      <c r="E511" s="11"/>
      <c r="F511" s="11"/>
      <c r="G511" s="11"/>
    </row>
    <row r="512" spans="1:7" x14ac:dyDescent="0.25">
      <c r="A512" s="11"/>
      <c r="B512" s="11"/>
      <c r="C512" s="11"/>
      <c r="D512" s="11"/>
      <c r="E512" s="11"/>
      <c r="F512" s="11"/>
      <c r="G512" s="11"/>
    </row>
    <row r="513" spans="1:7" x14ac:dyDescent="0.25">
      <c r="A513" s="11"/>
      <c r="B513" s="11"/>
      <c r="C513" s="11"/>
      <c r="D513" s="11"/>
      <c r="E513" s="11"/>
      <c r="F513" s="11"/>
      <c r="G513" s="11"/>
    </row>
    <row r="514" spans="1:7" x14ac:dyDescent="0.25">
      <c r="A514" s="11"/>
      <c r="B514" s="11"/>
      <c r="C514" s="11"/>
      <c r="D514" s="11"/>
      <c r="E514" s="11"/>
      <c r="F514" s="11"/>
      <c r="G514" s="11"/>
    </row>
    <row r="515" spans="1:7" x14ac:dyDescent="0.25">
      <c r="A515" s="11"/>
      <c r="B515" s="11"/>
      <c r="C515" s="11"/>
      <c r="D515" s="11"/>
      <c r="E515" s="11"/>
      <c r="F515" s="11"/>
      <c r="G515" s="11"/>
    </row>
    <row r="516" spans="1:7" x14ac:dyDescent="0.25">
      <c r="A516" s="11"/>
      <c r="B516" s="11"/>
      <c r="C516" s="11"/>
      <c r="D516" s="11"/>
      <c r="E516" s="11"/>
      <c r="F516" s="11"/>
      <c r="G516" s="11"/>
    </row>
    <row r="517" spans="1:7" x14ac:dyDescent="0.25">
      <c r="A517" s="11"/>
      <c r="B517" s="11"/>
      <c r="C517" s="11"/>
      <c r="D517" s="11"/>
      <c r="E517" s="11"/>
      <c r="F517" s="11"/>
      <c r="G517" s="11"/>
    </row>
    <row r="518" spans="1:7" x14ac:dyDescent="0.25">
      <c r="A518" s="11"/>
      <c r="B518" s="11"/>
      <c r="C518" s="11"/>
      <c r="D518" s="11"/>
      <c r="E518" s="11"/>
      <c r="F518" s="11"/>
      <c r="G518" s="11"/>
    </row>
    <row r="519" spans="1:7" x14ac:dyDescent="0.25">
      <c r="A519" s="11"/>
      <c r="B519" s="11"/>
      <c r="C519" s="11"/>
      <c r="D519" s="11"/>
      <c r="E519" s="11"/>
      <c r="F519" s="11"/>
      <c r="G519" s="11"/>
    </row>
    <row r="520" spans="1:7" x14ac:dyDescent="0.25">
      <c r="A520" s="11"/>
      <c r="B520" s="11"/>
      <c r="C520" s="11"/>
      <c r="D520" s="11"/>
      <c r="E520" s="11"/>
      <c r="F520" s="11"/>
      <c r="G520" s="11"/>
    </row>
    <row r="521" spans="1:7" x14ac:dyDescent="0.25">
      <c r="A521" s="11"/>
      <c r="B521" s="11"/>
      <c r="C521" s="11"/>
      <c r="D521" s="11"/>
      <c r="E521" s="11"/>
      <c r="F521" s="11"/>
      <c r="G521" s="11"/>
    </row>
    <row r="522" spans="1:7" x14ac:dyDescent="0.25">
      <c r="A522" s="11"/>
      <c r="B522" s="11"/>
      <c r="C522" s="11"/>
      <c r="D522" s="11"/>
      <c r="E522" s="11"/>
      <c r="F522" s="11"/>
      <c r="G522" s="11"/>
    </row>
    <row r="523" spans="1:7" x14ac:dyDescent="0.25">
      <c r="A523" s="11"/>
      <c r="B523" s="11"/>
      <c r="C523" s="11"/>
      <c r="D523" s="11"/>
      <c r="E523" s="11"/>
      <c r="F523" s="11"/>
      <c r="G523" s="11"/>
    </row>
    <row r="524" spans="1:7" x14ac:dyDescent="0.25">
      <c r="A524" s="11"/>
      <c r="B524" s="11"/>
      <c r="C524" s="11"/>
      <c r="D524" s="11"/>
      <c r="E524" s="11"/>
      <c r="F524" s="11"/>
      <c r="G524" s="11"/>
    </row>
    <row r="525" spans="1:7" x14ac:dyDescent="0.25">
      <c r="A525" s="11"/>
      <c r="B525" s="11"/>
      <c r="C525" s="11"/>
      <c r="D525" s="11"/>
      <c r="E525" s="11"/>
      <c r="F525" s="11"/>
      <c r="G525" s="11"/>
    </row>
    <row r="526" spans="1:7" x14ac:dyDescent="0.25">
      <c r="A526" s="11"/>
      <c r="B526" s="11"/>
      <c r="C526" s="11"/>
      <c r="D526" s="11"/>
      <c r="E526" s="11"/>
      <c r="F526" s="11"/>
      <c r="G526" s="11"/>
    </row>
    <row r="527" spans="1:7" x14ac:dyDescent="0.25">
      <c r="A527" s="11"/>
      <c r="B527" s="11"/>
      <c r="C527" s="11"/>
      <c r="D527" s="11"/>
      <c r="E527" s="11"/>
      <c r="F527" s="11"/>
      <c r="G527" s="11"/>
    </row>
    <row r="528" spans="1:7" x14ac:dyDescent="0.25">
      <c r="A528" s="11"/>
      <c r="B528" s="11"/>
      <c r="C528" s="11"/>
      <c r="D528" s="11"/>
      <c r="E528" s="11"/>
      <c r="F528" s="11"/>
      <c r="G528" s="11"/>
    </row>
    <row r="529" spans="1:7" x14ac:dyDescent="0.25">
      <c r="A529" s="11"/>
      <c r="B529" s="11"/>
      <c r="C529" s="11"/>
      <c r="D529" s="11"/>
      <c r="E529" s="11"/>
      <c r="F529" s="11"/>
      <c r="G529" s="11"/>
    </row>
    <row r="530" spans="1:7" x14ac:dyDescent="0.25">
      <c r="A530" s="11"/>
      <c r="B530" s="11"/>
      <c r="C530" s="11"/>
      <c r="D530" s="11"/>
      <c r="E530" s="11"/>
      <c r="F530" s="11"/>
      <c r="G530" s="11"/>
    </row>
    <row r="531" spans="1:7" x14ac:dyDescent="0.25">
      <c r="A531" s="11"/>
      <c r="B531" s="11"/>
      <c r="C531" s="11"/>
      <c r="D531" s="11"/>
      <c r="E531" s="11"/>
      <c r="F531" s="11"/>
      <c r="G531" s="11"/>
    </row>
    <row r="532" spans="1:7" x14ac:dyDescent="0.25">
      <c r="A532" s="11"/>
      <c r="B532" s="11"/>
      <c r="C532" s="11"/>
      <c r="D532" s="11"/>
      <c r="E532" s="11"/>
      <c r="F532" s="11"/>
      <c r="G532" s="11"/>
    </row>
    <row r="533" spans="1:7" x14ac:dyDescent="0.25">
      <c r="A533" s="11"/>
      <c r="B533" s="11"/>
      <c r="C533" s="11"/>
      <c r="D533" s="11"/>
      <c r="E533" s="11"/>
      <c r="F533" s="11"/>
      <c r="G533" s="11"/>
    </row>
    <row r="534" spans="1:7" x14ac:dyDescent="0.25">
      <c r="A534" s="11"/>
      <c r="B534" s="11"/>
      <c r="C534" s="11"/>
      <c r="D534" s="11"/>
      <c r="E534" s="11"/>
      <c r="F534" s="11"/>
      <c r="G534" s="11"/>
    </row>
    <row r="535" spans="1:7" x14ac:dyDescent="0.25">
      <c r="A535" s="11"/>
      <c r="B535" s="11"/>
      <c r="C535" s="11"/>
      <c r="D535" s="11"/>
      <c r="E535" s="11"/>
      <c r="F535" s="11"/>
      <c r="G535" s="11"/>
    </row>
    <row r="536" spans="1:7" x14ac:dyDescent="0.25">
      <c r="A536" s="11"/>
      <c r="B536" s="11"/>
      <c r="C536" s="11"/>
      <c r="D536" s="11"/>
      <c r="E536" s="11"/>
      <c r="F536" s="11"/>
      <c r="G536" s="11"/>
    </row>
    <row r="537" spans="1:7" x14ac:dyDescent="0.25">
      <c r="A537" s="11"/>
      <c r="B537" s="11"/>
      <c r="C537" s="11"/>
      <c r="D537" s="11"/>
      <c r="E537" s="11"/>
      <c r="F537" s="11"/>
      <c r="G537" s="11"/>
    </row>
    <row r="538" spans="1:7" x14ac:dyDescent="0.25">
      <c r="A538" s="11"/>
      <c r="B538" s="11"/>
      <c r="C538" s="11"/>
      <c r="D538" s="11"/>
      <c r="E538" s="11"/>
      <c r="F538" s="11"/>
      <c r="G538" s="11"/>
    </row>
    <row r="539" spans="1:7" x14ac:dyDescent="0.25">
      <c r="A539" s="11"/>
      <c r="B539" s="11"/>
      <c r="C539" s="11"/>
      <c r="D539" s="11"/>
      <c r="E539" s="11"/>
      <c r="F539" s="11"/>
      <c r="G539" s="11"/>
    </row>
    <row r="540" spans="1:7" x14ac:dyDescent="0.25">
      <c r="A540" s="11"/>
      <c r="B540" s="11"/>
      <c r="C540" s="11"/>
      <c r="D540" s="11"/>
      <c r="E540" s="11"/>
      <c r="F540" s="11"/>
      <c r="G540" s="11"/>
    </row>
    <row r="541" spans="1:7" x14ac:dyDescent="0.25">
      <c r="A541" s="11"/>
      <c r="B541" s="11"/>
      <c r="C541" s="11"/>
      <c r="D541" s="11"/>
      <c r="E541" s="11"/>
      <c r="F541" s="11"/>
      <c r="G541" s="11"/>
    </row>
    <row r="542" spans="1:7" x14ac:dyDescent="0.25">
      <c r="A542" s="11"/>
      <c r="B542" s="11"/>
      <c r="C542" s="11"/>
      <c r="D542" s="11"/>
      <c r="E542" s="11"/>
      <c r="F542" s="11"/>
      <c r="G542" s="11"/>
    </row>
    <row r="543" spans="1:7" x14ac:dyDescent="0.25">
      <c r="A543" s="11"/>
      <c r="B543" s="11"/>
      <c r="C543" s="11"/>
      <c r="D543" s="11"/>
      <c r="E543" s="11"/>
      <c r="F543" s="11"/>
      <c r="G543" s="11"/>
    </row>
    <row r="544" spans="1:7" x14ac:dyDescent="0.25">
      <c r="A544" s="11"/>
      <c r="B544" s="11"/>
      <c r="C544" s="11"/>
      <c r="D544" s="11"/>
      <c r="E544" s="11"/>
      <c r="F544" s="11"/>
      <c r="G544" s="11"/>
    </row>
    <row r="545" spans="1:7" x14ac:dyDescent="0.25">
      <c r="A545" s="11"/>
      <c r="B545" s="11"/>
      <c r="C545" s="11"/>
      <c r="D545" s="11"/>
      <c r="E545" s="11"/>
      <c r="F545" s="11"/>
      <c r="G545" s="11"/>
    </row>
    <row r="546" spans="1:7" x14ac:dyDescent="0.25">
      <c r="A546" s="11"/>
      <c r="B546" s="11"/>
      <c r="C546" s="11"/>
      <c r="D546" s="11"/>
      <c r="E546" s="11"/>
      <c r="F546" s="11"/>
      <c r="G546" s="11"/>
    </row>
    <row r="547" spans="1:7" x14ac:dyDescent="0.25">
      <c r="A547" s="11"/>
      <c r="B547" s="11"/>
      <c r="C547" s="11"/>
      <c r="D547" s="11"/>
      <c r="E547" s="11"/>
      <c r="F547" s="11"/>
      <c r="G547" s="11"/>
    </row>
    <row r="548" spans="1:7" x14ac:dyDescent="0.25">
      <c r="A548" s="11"/>
      <c r="B548" s="11"/>
      <c r="C548" s="11"/>
      <c r="D548" s="11"/>
      <c r="E548" s="11"/>
      <c r="F548" s="11"/>
      <c r="G548" s="11"/>
    </row>
    <row r="549" spans="1:7" x14ac:dyDescent="0.25">
      <c r="A549" s="11"/>
      <c r="B549" s="11"/>
      <c r="C549" s="11"/>
      <c r="D549" s="11"/>
      <c r="E549" s="11"/>
      <c r="F549" s="11"/>
      <c r="G549" s="11"/>
    </row>
    <row r="550" spans="1:7" x14ac:dyDescent="0.25">
      <c r="A550" s="11"/>
      <c r="B550" s="11"/>
      <c r="C550" s="11"/>
      <c r="D550" s="11"/>
      <c r="E550" s="11"/>
      <c r="F550" s="11"/>
      <c r="G550" s="11"/>
    </row>
    <row r="551" spans="1:7" x14ac:dyDescent="0.25">
      <c r="A551" s="11"/>
      <c r="B551" s="11"/>
      <c r="C551" s="11"/>
      <c r="D551" s="11"/>
      <c r="E551" s="11"/>
      <c r="F551" s="11"/>
      <c r="G551" s="11"/>
    </row>
    <row r="552" spans="1:7" x14ac:dyDescent="0.25">
      <c r="A552" s="11"/>
      <c r="B552" s="11"/>
      <c r="C552" s="11"/>
      <c r="D552" s="11"/>
      <c r="E552" s="11"/>
      <c r="F552" s="11"/>
      <c r="G552" s="11"/>
    </row>
    <row r="553" spans="1:7" x14ac:dyDescent="0.25">
      <c r="A553" s="11"/>
      <c r="B553" s="11"/>
      <c r="C553" s="11"/>
      <c r="D553" s="11"/>
      <c r="E553" s="11"/>
      <c r="F553" s="11"/>
      <c r="G553" s="11"/>
    </row>
    <row r="554" spans="1:7" x14ac:dyDescent="0.25">
      <c r="A554" s="11"/>
      <c r="B554" s="11"/>
      <c r="C554" s="11"/>
      <c r="D554" s="11"/>
      <c r="E554" s="11"/>
      <c r="F554" s="11"/>
      <c r="G554" s="11"/>
    </row>
    <row r="555" spans="1:7" x14ac:dyDescent="0.25">
      <c r="A555" s="11"/>
      <c r="B555" s="11"/>
      <c r="C555" s="11"/>
      <c r="D555" s="11"/>
      <c r="E555" s="11"/>
      <c r="F555" s="11"/>
      <c r="G555" s="11"/>
    </row>
    <row r="556" spans="1:7" x14ac:dyDescent="0.25">
      <c r="A556" s="11"/>
      <c r="B556" s="11"/>
      <c r="C556" s="11"/>
      <c r="D556" s="11"/>
      <c r="E556" s="11"/>
      <c r="F556" s="11"/>
      <c r="G556" s="11"/>
    </row>
    <row r="557" spans="1:7" x14ac:dyDescent="0.25">
      <c r="A557" s="11"/>
      <c r="B557" s="11"/>
      <c r="C557" s="11"/>
      <c r="D557" s="11"/>
      <c r="E557" s="11"/>
      <c r="F557" s="11"/>
      <c r="G557" s="11"/>
    </row>
    <row r="558" spans="1:7" x14ac:dyDescent="0.25">
      <c r="A558" s="11"/>
      <c r="B558" s="11"/>
      <c r="C558" s="11"/>
      <c r="D558" s="11"/>
      <c r="E558" s="11"/>
      <c r="F558" s="11"/>
      <c r="G558" s="11"/>
    </row>
    <row r="559" spans="1:7" x14ac:dyDescent="0.25">
      <c r="A559" s="11"/>
      <c r="B559" s="11"/>
      <c r="C559" s="11"/>
      <c r="D559" s="11"/>
      <c r="E559" s="11"/>
      <c r="F559" s="11"/>
      <c r="G559" s="11"/>
    </row>
    <row r="560" spans="1:7" x14ac:dyDescent="0.25">
      <c r="A560" s="11"/>
      <c r="B560" s="11"/>
      <c r="C560" s="11"/>
      <c r="D560" s="11"/>
      <c r="E560" s="11"/>
      <c r="F560" s="11"/>
      <c r="G560" s="11"/>
    </row>
    <row r="561" spans="1:7" x14ac:dyDescent="0.25">
      <c r="A561" s="11"/>
      <c r="B561" s="11"/>
      <c r="C561" s="11"/>
      <c r="D561" s="11"/>
      <c r="E561" s="11"/>
      <c r="F561" s="11"/>
      <c r="G561" s="11"/>
    </row>
    <row r="562" spans="1:7" x14ac:dyDescent="0.25">
      <c r="A562" s="11"/>
      <c r="B562" s="11"/>
      <c r="C562" s="11"/>
      <c r="D562" s="11"/>
      <c r="E562" s="11"/>
      <c r="F562" s="11"/>
      <c r="G562" s="11"/>
    </row>
    <row r="563" spans="1:7" x14ac:dyDescent="0.25">
      <c r="A563" s="11"/>
      <c r="B563" s="11"/>
      <c r="C563" s="11"/>
      <c r="D563" s="11"/>
      <c r="E563" s="11"/>
      <c r="F563" s="11"/>
      <c r="G563" s="11"/>
    </row>
    <row r="564" spans="1:7" x14ac:dyDescent="0.25">
      <c r="A564" s="11"/>
      <c r="B564" s="11"/>
      <c r="C564" s="11"/>
      <c r="D564" s="11"/>
      <c r="E564" s="11"/>
      <c r="F564" s="11"/>
      <c r="G564" s="11"/>
    </row>
    <row r="565" spans="1:7" x14ac:dyDescent="0.25">
      <c r="A565" s="11"/>
      <c r="B565" s="11"/>
      <c r="C565" s="11"/>
      <c r="D565" s="11"/>
      <c r="E565" s="11"/>
      <c r="F565" s="11"/>
      <c r="G565" s="11"/>
    </row>
    <row r="566" spans="1:7" x14ac:dyDescent="0.25">
      <c r="A566" s="11"/>
      <c r="B566" s="11"/>
      <c r="C566" s="11"/>
      <c r="D566" s="11"/>
      <c r="E566" s="11"/>
      <c r="F566" s="11"/>
      <c r="G566" s="11"/>
    </row>
    <row r="567" spans="1:7" x14ac:dyDescent="0.25">
      <c r="A567" s="11"/>
      <c r="B567" s="11"/>
      <c r="C567" s="11"/>
      <c r="D567" s="11"/>
      <c r="E567" s="11"/>
      <c r="F567" s="11"/>
      <c r="G567" s="11"/>
    </row>
    <row r="568" spans="1:7" x14ac:dyDescent="0.25">
      <c r="A568" s="11"/>
      <c r="B568" s="11"/>
      <c r="C568" s="11"/>
      <c r="D568" s="11"/>
      <c r="E568" s="11"/>
      <c r="F568" s="11"/>
      <c r="G568" s="11"/>
    </row>
    <row r="569" spans="1:7" x14ac:dyDescent="0.25">
      <c r="A569" s="11"/>
      <c r="B569" s="11"/>
      <c r="C569" s="11"/>
      <c r="D569" s="11"/>
      <c r="E569" s="11"/>
      <c r="F569" s="11"/>
      <c r="G569" s="11"/>
    </row>
    <row r="570" spans="1:7" x14ac:dyDescent="0.25">
      <c r="A570" s="11"/>
      <c r="B570" s="11"/>
      <c r="C570" s="11"/>
      <c r="D570" s="11"/>
      <c r="E570" s="11"/>
      <c r="F570" s="11"/>
      <c r="G570" s="11"/>
    </row>
    <row r="571" spans="1:7" x14ac:dyDescent="0.25">
      <c r="A571" s="11"/>
      <c r="B571" s="11"/>
      <c r="C571" s="11"/>
      <c r="D571" s="11"/>
      <c r="E571" s="11"/>
      <c r="F571" s="11"/>
      <c r="G571" s="11"/>
    </row>
    <row r="572" spans="1:7" x14ac:dyDescent="0.25">
      <c r="A572" s="11"/>
      <c r="B572" s="11"/>
      <c r="C572" s="11"/>
      <c r="D572" s="11"/>
      <c r="E572" s="11"/>
      <c r="F572" s="11"/>
      <c r="G572" s="11"/>
    </row>
    <row r="573" spans="1:7" x14ac:dyDescent="0.25">
      <c r="A573" s="11"/>
      <c r="B573" s="11"/>
      <c r="C573" s="11"/>
      <c r="D573" s="11"/>
      <c r="E573" s="11"/>
      <c r="F573" s="11"/>
      <c r="G573" s="11"/>
    </row>
    <row r="574" spans="1:7" x14ac:dyDescent="0.25">
      <c r="A574" s="11"/>
      <c r="B574" s="11"/>
      <c r="C574" s="11"/>
      <c r="D574" s="11"/>
      <c r="E574" s="11"/>
      <c r="F574" s="11"/>
      <c r="G574" s="11"/>
    </row>
    <row r="575" spans="1:7" x14ac:dyDescent="0.25">
      <c r="A575" s="11"/>
      <c r="B575" s="11"/>
      <c r="C575" s="11"/>
      <c r="D575" s="11"/>
      <c r="E575" s="11"/>
      <c r="F575" s="11"/>
      <c r="G575" s="11"/>
    </row>
    <row r="576" spans="1:7" x14ac:dyDescent="0.25">
      <c r="A576" s="11"/>
      <c r="B576" s="11"/>
      <c r="C576" s="11"/>
      <c r="D576" s="11"/>
      <c r="E576" s="11"/>
      <c r="F576" s="11"/>
      <c r="G576" s="11"/>
    </row>
    <row r="577" spans="1:7" x14ac:dyDescent="0.25">
      <c r="A577" s="11"/>
      <c r="B577" s="11"/>
      <c r="C577" s="11"/>
      <c r="D577" s="11"/>
      <c r="E577" s="11"/>
      <c r="F577" s="11"/>
      <c r="G577" s="11"/>
    </row>
    <row r="578" spans="1:7" x14ac:dyDescent="0.25">
      <c r="A578" s="11"/>
      <c r="B578" s="11"/>
      <c r="C578" s="11"/>
      <c r="D578" s="11"/>
      <c r="E578" s="11"/>
      <c r="F578" s="11"/>
      <c r="G578" s="11"/>
    </row>
    <row r="579" spans="1:7" x14ac:dyDescent="0.25">
      <c r="A579" s="11"/>
      <c r="B579" s="11"/>
      <c r="C579" s="11"/>
      <c r="D579" s="11"/>
      <c r="E579" s="11"/>
      <c r="F579" s="11"/>
      <c r="G579" s="11"/>
    </row>
    <row r="580" spans="1:7" x14ac:dyDescent="0.25">
      <c r="A580" s="11"/>
      <c r="B580" s="11"/>
      <c r="C580" s="11"/>
      <c r="D580" s="11"/>
      <c r="E580" s="11"/>
      <c r="F580" s="11"/>
      <c r="G580" s="11"/>
    </row>
    <row r="581" spans="1:7" x14ac:dyDescent="0.25">
      <c r="A581" s="11"/>
      <c r="B581" s="11"/>
      <c r="C581" s="11"/>
      <c r="D581" s="11"/>
      <c r="E581" s="11"/>
      <c r="F581" s="11"/>
      <c r="G581" s="11"/>
    </row>
    <row r="582" spans="1:7" x14ac:dyDescent="0.25">
      <c r="A582" s="11"/>
      <c r="B582" s="11"/>
      <c r="C582" s="11"/>
      <c r="D582" s="11"/>
      <c r="E582" s="11"/>
      <c r="F582" s="11"/>
      <c r="G582" s="11"/>
    </row>
    <row r="583" spans="1:7" x14ac:dyDescent="0.25">
      <c r="A583" s="11"/>
      <c r="B583" s="11"/>
      <c r="C583" s="11"/>
      <c r="D583" s="11"/>
      <c r="E583" s="11"/>
      <c r="F583" s="11"/>
      <c r="G583" s="11"/>
    </row>
    <row r="584" spans="1:7" x14ac:dyDescent="0.25">
      <c r="A584" s="11"/>
      <c r="B584" s="11"/>
      <c r="C584" s="11"/>
      <c r="D584" s="11"/>
      <c r="E584" s="11"/>
      <c r="F584" s="11"/>
      <c r="G584" s="11"/>
    </row>
    <row r="585" spans="1:7" x14ac:dyDescent="0.25">
      <c r="A585" s="11"/>
      <c r="B585" s="11"/>
      <c r="C585" s="11"/>
      <c r="D585" s="11"/>
      <c r="E585" s="11"/>
      <c r="F585" s="11"/>
      <c r="G585" s="11"/>
    </row>
    <row r="586" spans="1:7" x14ac:dyDescent="0.25">
      <c r="A586" s="11"/>
      <c r="B586" s="11"/>
      <c r="C586" s="11"/>
      <c r="D586" s="11"/>
      <c r="E586" s="11"/>
      <c r="F586" s="11"/>
      <c r="G586" s="11"/>
    </row>
    <row r="587" spans="1:7" x14ac:dyDescent="0.25">
      <c r="A587" s="11"/>
      <c r="B587" s="11"/>
      <c r="C587" s="11"/>
      <c r="D587" s="11"/>
      <c r="E587" s="11"/>
      <c r="F587" s="11"/>
      <c r="G587" s="11"/>
    </row>
    <row r="588" spans="1:7" x14ac:dyDescent="0.25">
      <c r="A588" s="11"/>
      <c r="B588" s="11"/>
      <c r="C588" s="11"/>
      <c r="D588" s="11"/>
      <c r="E588" s="11"/>
      <c r="F588" s="11"/>
      <c r="G588" s="11"/>
    </row>
    <row r="589" spans="1:7" x14ac:dyDescent="0.25">
      <c r="A589" s="11"/>
      <c r="B589" s="11"/>
      <c r="C589" s="11"/>
      <c r="D589" s="11"/>
      <c r="E589" s="11"/>
      <c r="F589" s="11"/>
      <c r="G589" s="11"/>
    </row>
    <row r="590" spans="1:7" x14ac:dyDescent="0.25">
      <c r="A590" s="11"/>
      <c r="B590" s="11"/>
      <c r="C590" s="11"/>
      <c r="D590" s="11"/>
      <c r="E590" s="11"/>
      <c r="F590" s="11"/>
      <c r="G590" s="11"/>
    </row>
    <row r="591" spans="1:7" x14ac:dyDescent="0.25">
      <c r="A591" s="11"/>
      <c r="B591" s="11"/>
      <c r="C591" s="11"/>
      <c r="D591" s="11"/>
      <c r="E591" s="11"/>
      <c r="F591" s="11"/>
      <c r="G591" s="11"/>
    </row>
    <row r="592" spans="1:7" x14ac:dyDescent="0.25">
      <c r="A592" s="11"/>
      <c r="B592" s="11"/>
      <c r="C592" s="11"/>
      <c r="D592" s="11"/>
      <c r="E592" s="11"/>
      <c r="F592" s="11"/>
      <c r="G592" s="11"/>
    </row>
    <row r="593" spans="1:7" x14ac:dyDescent="0.25">
      <c r="A593" s="11"/>
      <c r="B593" s="11"/>
      <c r="C593" s="11"/>
      <c r="D593" s="11"/>
      <c r="E593" s="11"/>
      <c r="F593" s="11"/>
      <c r="G593" s="11"/>
    </row>
    <row r="594" spans="1:7" x14ac:dyDescent="0.25">
      <c r="A594" s="11"/>
      <c r="B594" s="11"/>
      <c r="C594" s="11"/>
      <c r="D594" s="11"/>
      <c r="E594" s="11"/>
      <c r="F594" s="11"/>
      <c r="G594" s="11"/>
    </row>
    <row r="595" spans="1:7" x14ac:dyDescent="0.25">
      <c r="A595" s="11"/>
      <c r="B595" s="11"/>
      <c r="C595" s="11"/>
      <c r="D595" s="11"/>
      <c r="E595" s="11"/>
      <c r="F595" s="11"/>
      <c r="G595" s="11"/>
    </row>
    <row r="596" spans="1:7" x14ac:dyDescent="0.25">
      <c r="A596" s="11"/>
      <c r="B596" s="11"/>
      <c r="C596" s="11"/>
      <c r="D596" s="11"/>
      <c r="E596" s="11"/>
      <c r="F596" s="11"/>
      <c r="G596" s="11"/>
    </row>
    <row r="597" spans="1:7" x14ac:dyDescent="0.25">
      <c r="A597" s="11"/>
      <c r="B597" s="11"/>
      <c r="C597" s="11"/>
      <c r="D597" s="11"/>
      <c r="E597" s="11"/>
      <c r="F597" s="11"/>
      <c r="G597" s="11"/>
    </row>
    <row r="598" spans="1:7" x14ac:dyDescent="0.25">
      <c r="A598" s="11"/>
      <c r="B598" s="11"/>
      <c r="C598" s="11"/>
      <c r="D598" s="11"/>
      <c r="E598" s="11"/>
      <c r="F598" s="11"/>
      <c r="G598" s="11"/>
    </row>
    <row r="599" spans="1:7" x14ac:dyDescent="0.25">
      <c r="A599" s="11"/>
      <c r="B599" s="11"/>
      <c r="C599" s="11"/>
      <c r="D599" s="11"/>
      <c r="E599" s="11"/>
      <c r="F599" s="11"/>
      <c r="G599" s="11"/>
    </row>
    <row r="600" spans="1:7" x14ac:dyDescent="0.25">
      <c r="A600" s="11"/>
      <c r="B600" s="11"/>
      <c r="C600" s="11"/>
      <c r="D600" s="11"/>
      <c r="E600" s="11"/>
      <c r="F600" s="11"/>
      <c r="G600" s="11"/>
    </row>
    <row r="601" spans="1:7" x14ac:dyDescent="0.25">
      <c r="A601" s="11"/>
      <c r="B601" s="11"/>
      <c r="C601" s="11"/>
      <c r="D601" s="11"/>
      <c r="E601" s="11"/>
      <c r="F601" s="11"/>
      <c r="G601" s="11"/>
    </row>
    <row r="602" spans="1:7" x14ac:dyDescent="0.25">
      <c r="A602" s="11"/>
      <c r="B602" s="11"/>
      <c r="C602" s="11"/>
      <c r="D602" s="11"/>
      <c r="E602" s="11"/>
      <c r="F602" s="11"/>
      <c r="G602" s="11"/>
    </row>
    <row r="603" spans="1:7" x14ac:dyDescent="0.25">
      <c r="A603" s="11"/>
      <c r="B603" s="11"/>
      <c r="C603" s="11"/>
      <c r="D603" s="11"/>
      <c r="E603" s="11"/>
      <c r="F603" s="11"/>
      <c r="G603" s="11"/>
    </row>
    <row r="604" spans="1:7" x14ac:dyDescent="0.25">
      <c r="A604" s="11"/>
      <c r="B604" s="11"/>
      <c r="C604" s="11"/>
      <c r="D604" s="11"/>
      <c r="E604" s="11"/>
      <c r="F604" s="11"/>
      <c r="G604" s="11"/>
    </row>
    <row r="605" spans="1:7" x14ac:dyDescent="0.25">
      <c r="A605" s="11"/>
      <c r="B605" s="11"/>
      <c r="C605" s="11"/>
      <c r="D605" s="11"/>
      <c r="E605" s="11"/>
      <c r="F605" s="11"/>
      <c r="G605" s="11"/>
    </row>
    <row r="606" spans="1:7" x14ac:dyDescent="0.25">
      <c r="A606" s="11"/>
      <c r="B606" s="11"/>
      <c r="C606" s="11"/>
      <c r="D606" s="11"/>
      <c r="E606" s="11"/>
      <c r="F606" s="11"/>
      <c r="G606" s="11"/>
    </row>
    <row r="607" spans="1:7" x14ac:dyDescent="0.25">
      <c r="A607" s="11"/>
      <c r="B607" s="11"/>
      <c r="C607" s="11"/>
      <c r="D607" s="11"/>
      <c r="E607" s="11"/>
      <c r="F607" s="11"/>
      <c r="G607" s="11"/>
    </row>
    <row r="608" spans="1:7" x14ac:dyDescent="0.25">
      <c r="A608" s="11"/>
      <c r="B608" s="11"/>
      <c r="C608" s="11"/>
      <c r="D608" s="11"/>
      <c r="E608" s="11"/>
      <c r="F608" s="11"/>
      <c r="G608" s="11"/>
    </row>
    <row r="609" spans="1:7" x14ac:dyDescent="0.25">
      <c r="A609" s="11"/>
      <c r="B609" s="11"/>
      <c r="C609" s="11"/>
      <c r="D609" s="11"/>
      <c r="E609" s="11"/>
      <c r="F609" s="11"/>
      <c r="G609" s="11"/>
    </row>
    <row r="610" spans="1:7" x14ac:dyDescent="0.25">
      <c r="A610" s="11"/>
      <c r="B610" s="11"/>
      <c r="C610" s="11"/>
      <c r="D610" s="11"/>
      <c r="E610" s="11"/>
      <c r="F610" s="11"/>
      <c r="G610" s="11"/>
    </row>
    <row r="611" spans="1:7" x14ac:dyDescent="0.25">
      <c r="A611" s="11"/>
      <c r="B611" s="11"/>
      <c r="C611" s="11"/>
      <c r="D611" s="11"/>
      <c r="E611" s="11"/>
      <c r="F611" s="11"/>
      <c r="G611" s="11"/>
    </row>
    <row r="612" spans="1:7" x14ac:dyDescent="0.25">
      <c r="A612" s="11"/>
      <c r="B612" s="11"/>
      <c r="C612" s="11"/>
      <c r="D612" s="11"/>
      <c r="E612" s="11"/>
      <c r="F612" s="11"/>
      <c r="G612" s="11"/>
    </row>
    <row r="613" spans="1:7" x14ac:dyDescent="0.25">
      <c r="A613" s="11"/>
      <c r="B613" s="11"/>
      <c r="C613" s="11"/>
      <c r="D613" s="11"/>
      <c r="E613" s="11"/>
      <c r="F613" s="11"/>
      <c r="G613" s="11"/>
    </row>
    <row r="614" spans="1:7" x14ac:dyDescent="0.25">
      <c r="A614" s="11"/>
      <c r="B614" s="11"/>
      <c r="C614" s="11"/>
      <c r="D614" s="11"/>
      <c r="E614" s="11"/>
      <c r="F614" s="11"/>
      <c r="G614" s="11"/>
    </row>
    <row r="615" spans="1:7" x14ac:dyDescent="0.25">
      <c r="A615" s="11"/>
      <c r="B615" s="11"/>
      <c r="C615" s="11"/>
      <c r="D615" s="11"/>
      <c r="E615" s="11"/>
      <c r="F615" s="11"/>
      <c r="G615" s="11"/>
    </row>
    <row r="616" spans="1:7" x14ac:dyDescent="0.25">
      <c r="A616" s="11"/>
      <c r="B616" s="11"/>
      <c r="C616" s="11"/>
      <c r="D616" s="11"/>
      <c r="E616" s="11"/>
      <c r="F616" s="11"/>
      <c r="G616" s="11"/>
    </row>
    <row r="617" spans="1:7" x14ac:dyDescent="0.25">
      <c r="A617" s="11"/>
      <c r="B617" s="11"/>
      <c r="C617" s="11"/>
      <c r="D617" s="11"/>
      <c r="E617" s="11"/>
      <c r="F617" s="11"/>
      <c r="G617" s="11"/>
    </row>
    <row r="618" spans="1:7" x14ac:dyDescent="0.25">
      <c r="A618" s="11"/>
      <c r="B618" s="11"/>
      <c r="C618" s="11"/>
      <c r="D618" s="11"/>
      <c r="E618" s="11"/>
      <c r="F618" s="11"/>
      <c r="G618" s="11"/>
    </row>
    <row r="619" spans="1:7" x14ac:dyDescent="0.25">
      <c r="A619" s="11"/>
      <c r="B619" s="11"/>
      <c r="C619" s="11"/>
      <c r="D619" s="11"/>
      <c r="E619" s="11"/>
      <c r="F619" s="11"/>
      <c r="G619" s="11"/>
    </row>
    <row r="620" spans="1:7" x14ac:dyDescent="0.25">
      <c r="A620" s="11"/>
      <c r="B620" s="11"/>
      <c r="C620" s="11"/>
      <c r="D620" s="11"/>
      <c r="E620" s="11"/>
      <c r="F620" s="11"/>
      <c r="G620" s="11"/>
    </row>
    <row r="621" spans="1:7" x14ac:dyDescent="0.25">
      <c r="A621" s="11"/>
      <c r="B621" s="11"/>
      <c r="C621" s="11"/>
      <c r="D621" s="11"/>
      <c r="E621" s="11"/>
      <c r="F621" s="11"/>
      <c r="G621" s="11"/>
    </row>
    <row r="622" spans="1:7" x14ac:dyDescent="0.25">
      <c r="A622" s="11"/>
      <c r="B622" s="11"/>
      <c r="C622" s="11"/>
      <c r="D622" s="11"/>
      <c r="E622" s="11"/>
      <c r="F622" s="11"/>
      <c r="G622" s="11"/>
    </row>
    <row r="623" spans="1:7" x14ac:dyDescent="0.25">
      <c r="A623" s="11"/>
      <c r="B623" s="11"/>
      <c r="C623" s="11"/>
      <c r="D623" s="11"/>
      <c r="E623" s="11"/>
      <c r="F623" s="11"/>
      <c r="G623" s="11"/>
    </row>
    <row r="624" spans="1:7" x14ac:dyDescent="0.25">
      <c r="A624" s="11"/>
      <c r="B624" s="11"/>
      <c r="C624" s="11"/>
      <c r="D624" s="11"/>
      <c r="E624" s="11"/>
      <c r="F624" s="11"/>
      <c r="G624" s="11"/>
    </row>
    <row r="625" spans="1:7" x14ac:dyDescent="0.25">
      <c r="A625" s="11"/>
      <c r="B625" s="11"/>
      <c r="C625" s="11"/>
      <c r="D625" s="11"/>
      <c r="E625" s="11"/>
      <c r="F625" s="11"/>
      <c r="G625" s="11"/>
    </row>
    <row r="626" spans="1:7" x14ac:dyDescent="0.25">
      <c r="A626" s="11"/>
      <c r="B626" s="11"/>
      <c r="C626" s="11"/>
      <c r="D626" s="11"/>
      <c r="E626" s="11"/>
      <c r="F626" s="11"/>
      <c r="G626" s="11"/>
    </row>
    <row r="627" spans="1:7" x14ac:dyDescent="0.25">
      <c r="A627" s="11"/>
      <c r="B627" s="11"/>
      <c r="C627" s="11"/>
      <c r="D627" s="11"/>
      <c r="E627" s="11"/>
      <c r="F627" s="11"/>
      <c r="G627" s="11"/>
    </row>
    <row r="628" spans="1:7" x14ac:dyDescent="0.25">
      <c r="A628" s="11"/>
      <c r="B628" s="11"/>
      <c r="C628" s="11"/>
      <c r="D628" s="11"/>
      <c r="E628" s="11"/>
      <c r="F628" s="11"/>
      <c r="G628" s="11"/>
    </row>
    <row r="629" spans="1:7" x14ac:dyDescent="0.25">
      <c r="A629" s="11"/>
      <c r="B629" s="11"/>
      <c r="C629" s="11"/>
      <c r="D629" s="11"/>
      <c r="E629" s="11"/>
      <c r="F629" s="11"/>
      <c r="G629" s="11"/>
    </row>
    <row r="630" spans="1:7" x14ac:dyDescent="0.25">
      <c r="A630" s="11"/>
      <c r="B630" s="11"/>
      <c r="C630" s="11"/>
      <c r="D630" s="11"/>
      <c r="E630" s="11"/>
      <c r="F630" s="11"/>
      <c r="G630" s="11"/>
    </row>
    <row r="631" spans="1:7" x14ac:dyDescent="0.25">
      <c r="A631" s="11"/>
      <c r="B631" s="11"/>
      <c r="C631" s="11"/>
      <c r="D631" s="11"/>
      <c r="E631" s="11"/>
      <c r="F631" s="11"/>
      <c r="G631" s="11"/>
    </row>
    <row r="632" spans="1:7" x14ac:dyDescent="0.25">
      <c r="A632" s="11"/>
      <c r="B632" s="11"/>
      <c r="C632" s="11"/>
      <c r="D632" s="11"/>
      <c r="E632" s="11"/>
      <c r="F632" s="11"/>
      <c r="G632" s="11"/>
    </row>
    <row r="633" spans="1:7" x14ac:dyDescent="0.25">
      <c r="A633" s="11"/>
      <c r="B633" s="11"/>
      <c r="C633" s="11"/>
      <c r="D633" s="11"/>
      <c r="E633" s="11"/>
      <c r="F633" s="11"/>
      <c r="G633" s="11"/>
    </row>
    <row r="634" spans="1:7" x14ac:dyDescent="0.25">
      <c r="A634" s="11"/>
      <c r="B634" s="11"/>
      <c r="C634" s="11"/>
      <c r="D634" s="11"/>
      <c r="E634" s="11"/>
      <c r="F634" s="11"/>
      <c r="G634" s="11"/>
    </row>
    <row r="635" spans="1:7" x14ac:dyDescent="0.25">
      <c r="A635" s="11"/>
      <c r="B635" s="11"/>
      <c r="C635" s="11"/>
      <c r="D635" s="11"/>
      <c r="E635" s="11"/>
      <c r="F635" s="11"/>
      <c r="G635" s="11"/>
    </row>
    <row r="636" spans="1:7" x14ac:dyDescent="0.25">
      <c r="A636" s="11"/>
      <c r="B636" s="11"/>
      <c r="C636" s="11"/>
      <c r="D636" s="11"/>
      <c r="E636" s="11"/>
      <c r="F636" s="11"/>
      <c r="G636" s="11"/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Aviva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 Varaden</dc:creator>
  <cp:lastModifiedBy>Richard Godfrey</cp:lastModifiedBy>
  <dcterms:created xsi:type="dcterms:W3CDTF">2017-03-08T08:54:38Z</dcterms:created>
  <dcterms:modified xsi:type="dcterms:W3CDTF">2017-03-10T18:54:09Z</dcterms:modified>
</cp:coreProperties>
</file>